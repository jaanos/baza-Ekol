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/>
  <workbookPr/>
  <mc:AlternateContent xmlns:mc="http://schemas.openxmlformats.org/markup-compatibility/2006">
    <mc:Choice Requires="x15">
      <x15ac:absPath xmlns:x15ac="http://schemas.microsoft.com/office/spreadsheetml/2010/11/ac" url="U:\ODPADKI-vse\VHODNO - IZHODNA KONTROLA\"/>
    </mc:Choice>
  </mc:AlternateContent>
  <xr:revisionPtr revIDLastSave="0" documentId="8_{4094F8F9-5A36-46DB-94DE-681DD2959383}" xr6:coauthVersionLast="45" xr6:coauthVersionMax="45" xr10:uidLastSave="{00000000-0000-0000-0000-000000000000}"/>
  <bookViews>
    <workbookView xWindow="-120" yWindow="-120" windowWidth="29040" windowHeight="15840" activeTab="6" xr2:uid="{00000000-000D-0000-FFFF-FFFF00000000}"/>
  </bookViews>
  <sheets>
    <sheet name="Skladisce_3" sheetId="8" r:id="rId1"/>
    <sheet name="Skladisce_7" sheetId="7" r:id="rId2"/>
    <sheet name="Kontrola" sheetId="1" r:id="rId3"/>
    <sheet name="Izpis_izvoza" sheetId="6" r:id="rId4"/>
    <sheet name="Vhod" sheetId="2" r:id="rId5"/>
    <sheet name="Izhod" sheetId="4" r:id="rId6"/>
    <sheet name="Podatki" sheetId="5" r:id="rId7"/>
  </sheets>
  <definedNames>
    <definedName name="_xlnm._FilterDatabase" localSheetId="2" hidden="1">Kontrola!$A$1:$J$1</definedName>
    <definedName name="_xlnm.Print_Area" localSheetId="2">Kontrola!$A$1:$I$78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34" i="2" l="1"/>
  <c r="G333" i="2"/>
  <c r="G332" i="2"/>
  <c r="G331" i="2"/>
  <c r="G330" i="2"/>
  <c r="D2" i="8"/>
  <c r="D5" i="8"/>
  <c r="D6" i="8"/>
  <c r="D9" i="8"/>
  <c r="D12" i="8"/>
  <c r="D13" i="8"/>
  <c r="D14" i="8"/>
  <c r="D16" i="8"/>
  <c r="D17" i="8"/>
  <c r="D20" i="8"/>
  <c r="D21" i="8"/>
  <c r="D22" i="8"/>
  <c r="D23" i="8"/>
  <c r="D24" i="8"/>
  <c r="D27" i="8"/>
  <c r="D31" i="8"/>
  <c r="D35" i="8"/>
  <c r="D42" i="8"/>
  <c r="D43" i="8"/>
  <c r="D44" i="8"/>
  <c r="D45" i="8"/>
  <c r="D46" i="8"/>
  <c r="D47" i="8"/>
  <c r="D48" i="8"/>
  <c r="D50" i="8"/>
  <c r="D51" i="8"/>
  <c r="D52" i="8"/>
  <c r="D53" i="8"/>
  <c r="D57" i="8"/>
  <c r="D59" i="8"/>
  <c r="D62" i="8"/>
  <c r="D63" i="8"/>
  <c r="D65" i="8"/>
  <c r="D66" i="8"/>
  <c r="D69" i="8"/>
  <c r="D70" i="8"/>
  <c r="D72" i="8"/>
  <c r="D73" i="8"/>
  <c r="G329" i="2"/>
  <c r="G328" i="2"/>
  <c r="G327" i="2"/>
  <c r="G326" i="2"/>
  <c r="G325" i="2"/>
  <c r="G324" i="2" l="1"/>
  <c r="G323" i="2"/>
  <c r="D67" i="8" s="1"/>
  <c r="G322" i="2" l="1"/>
  <c r="G297" i="2"/>
  <c r="G305" i="2"/>
  <c r="G278" i="2"/>
  <c r="G296" i="2"/>
  <c r="G272" i="2"/>
  <c r="G301" i="2"/>
  <c r="G302" i="2"/>
  <c r="G303" i="2"/>
  <c r="G300" i="2"/>
  <c r="G299" i="2"/>
  <c r="G298" i="2"/>
  <c r="G133" i="2"/>
  <c r="G132" i="2"/>
  <c r="G118" i="2"/>
  <c r="G8" i="2"/>
  <c r="G170" i="2"/>
  <c r="G267" i="2"/>
  <c r="G266" i="2"/>
  <c r="G260" i="2"/>
  <c r="G265" i="2"/>
  <c r="G317" i="2"/>
  <c r="G259" i="2"/>
  <c r="G315" i="2"/>
  <c r="G316" i="2"/>
  <c r="G313" i="2"/>
  <c r="G314" i="2"/>
  <c r="G312" i="2"/>
  <c r="G311" i="2"/>
  <c r="G290" i="2" l="1"/>
  <c r="G291" i="2"/>
  <c r="G292" i="2"/>
  <c r="G289" i="2" l="1"/>
  <c r="G288" i="2"/>
  <c r="G287" i="2"/>
  <c r="G286" i="2"/>
  <c r="G285" i="2"/>
  <c r="G284" i="2"/>
  <c r="G283" i="2"/>
  <c r="G282" i="2" l="1"/>
  <c r="G281" i="2"/>
  <c r="G280" i="2"/>
  <c r="G279" i="2"/>
  <c r="G258" i="2"/>
  <c r="G277" i="2"/>
  <c r="G276" i="2"/>
  <c r="G275" i="2"/>
  <c r="G274" i="2"/>
  <c r="G273" i="2"/>
  <c r="G310" i="2"/>
  <c r="G270" i="2"/>
  <c r="G271" i="2"/>
  <c r="G321" i="2"/>
  <c r="G269" i="2"/>
  <c r="G320" i="2"/>
  <c r="G319" i="2"/>
  <c r="G304" i="2"/>
  <c r="G264" i="2"/>
  <c r="G146" i="2"/>
  <c r="G144" i="2"/>
  <c r="G143" i="2"/>
  <c r="G142" i="2"/>
  <c r="G134" i="2"/>
  <c r="G306" i="2"/>
  <c r="G295" i="2"/>
  <c r="G256" i="2"/>
  <c r="G255" i="2"/>
  <c r="G254" i="2"/>
  <c r="G253" i="2"/>
  <c r="B9" i="7" l="1"/>
  <c r="F9" i="7"/>
  <c r="G9" i="7"/>
  <c r="B3" i="7"/>
  <c r="F3" i="7"/>
  <c r="G3" i="7"/>
  <c r="B60" i="1"/>
  <c r="J60" i="1"/>
  <c r="K60" i="1"/>
  <c r="B58" i="1"/>
  <c r="J58" i="1"/>
  <c r="K58" i="1"/>
  <c r="G238" i="2"/>
  <c r="G235" i="2"/>
  <c r="G236" i="2"/>
  <c r="G237" i="2"/>
  <c r="G232" i="2"/>
  <c r="G233" i="2"/>
  <c r="G234" i="2"/>
  <c r="G229" i="2"/>
  <c r="G230" i="2"/>
  <c r="G231" i="2"/>
  <c r="G228" i="2"/>
  <c r="G227" i="2"/>
  <c r="G226" i="2"/>
  <c r="G225" i="2"/>
  <c r="G250" i="2"/>
  <c r="G249" i="2"/>
  <c r="G248" i="2"/>
  <c r="D60" i="1" s="1"/>
  <c r="G224" i="2"/>
  <c r="G223" i="2"/>
  <c r="G222" i="2"/>
  <c r="G239" i="2"/>
  <c r="G219" i="2"/>
  <c r="D3" i="8" s="1"/>
  <c r="G220" i="2"/>
  <c r="G221" i="2"/>
  <c r="G245" i="2"/>
  <c r="G246" i="2"/>
  <c r="G247" i="2"/>
  <c r="G242" i="2"/>
  <c r="G243" i="2"/>
  <c r="G244" i="2"/>
  <c r="G241" i="2"/>
  <c r="G240" i="2"/>
  <c r="G218" i="2"/>
  <c r="G217" i="2"/>
  <c r="G216" i="2"/>
  <c r="G215" i="2"/>
  <c r="D7" i="8" l="1"/>
  <c r="D60" i="8"/>
  <c r="D4" i="8"/>
  <c r="D56" i="8"/>
  <c r="D3" i="7"/>
  <c r="D9" i="7"/>
  <c r="D58" i="1"/>
  <c r="H58" i="1"/>
  <c r="H60" i="1"/>
  <c r="F58" i="1"/>
  <c r="F60" i="1"/>
  <c r="G2" i="2" l="1"/>
  <c r="G209" i="2"/>
  <c r="G208" i="2"/>
  <c r="G204" i="2"/>
  <c r="G205" i="2"/>
  <c r="G206" i="2"/>
  <c r="G207" i="2"/>
  <c r="G214" i="2"/>
  <c r="G213" i="2"/>
  <c r="G212" i="2"/>
  <c r="G211" i="2"/>
  <c r="G210" i="2"/>
  <c r="G75" i="8" l="1"/>
  <c r="F75" i="8"/>
  <c r="B75" i="8"/>
  <c r="G74" i="8"/>
  <c r="F74" i="8"/>
  <c r="B74" i="8"/>
  <c r="G73" i="8"/>
  <c r="F73" i="8"/>
  <c r="B73" i="8"/>
  <c r="G71" i="8"/>
  <c r="F71" i="8"/>
  <c r="B71" i="8"/>
  <c r="G72" i="8"/>
  <c r="F72" i="8"/>
  <c r="B72" i="8"/>
  <c r="G70" i="8"/>
  <c r="F70" i="8"/>
  <c r="B70" i="8"/>
  <c r="G69" i="8"/>
  <c r="F69" i="8"/>
  <c r="B69" i="8"/>
  <c r="G68" i="8"/>
  <c r="F68" i="8"/>
  <c r="B68" i="8"/>
  <c r="G67" i="8"/>
  <c r="F67" i="8"/>
  <c r="B67" i="8"/>
  <c r="G66" i="8"/>
  <c r="F66" i="8"/>
  <c r="B66" i="8"/>
  <c r="G65" i="8"/>
  <c r="F65" i="8"/>
  <c r="B65" i="8"/>
  <c r="G64" i="8"/>
  <c r="F64" i="8"/>
  <c r="B64" i="8"/>
  <c r="G63" i="8"/>
  <c r="F63" i="8"/>
  <c r="B63" i="8"/>
  <c r="G62" i="8"/>
  <c r="F62" i="8"/>
  <c r="B62" i="8"/>
  <c r="G61" i="8"/>
  <c r="F61" i="8"/>
  <c r="B61" i="8"/>
  <c r="G60" i="8"/>
  <c r="F60" i="8"/>
  <c r="B60" i="8"/>
  <c r="G59" i="8"/>
  <c r="F59" i="8"/>
  <c r="B59" i="8"/>
  <c r="G58" i="8"/>
  <c r="F58" i="8"/>
  <c r="B58" i="8"/>
  <c r="G57" i="8"/>
  <c r="F57" i="8"/>
  <c r="B57" i="8"/>
  <c r="G56" i="8"/>
  <c r="F56" i="8"/>
  <c r="B56" i="8"/>
  <c r="G55" i="8"/>
  <c r="F55" i="8"/>
  <c r="B55" i="8"/>
  <c r="G54" i="8"/>
  <c r="F54" i="8"/>
  <c r="B54" i="8"/>
  <c r="G53" i="8"/>
  <c r="F53" i="8"/>
  <c r="B53" i="8"/>
  <c r="G52" i="8"/>
  <c r="F52" i="8"/>
  <c r="B52" i="8"/>
  <c r="G51" i="8"/>
  <c r="F51" i="8"/>
  <c r="B51" i="8"/>
  <c r="G50" i="8"/>
  <c r="F50" i="8"/>
  <c r="B50" i="8"/>
  <c r="G49" i="8"/>
  <c r="F49" i="8"/>
  <c r="B49" i="8"/>
  <c r="G48" i="8"/>
  <c r="F48" i="8"/>
  <c r="B48" i="8"/>
  <c r="G47" i="8"/>
  <c r="F47" i="8"/>
  <c r="B47" i="8"/>
  <c r="G46" i="8"/>
  <c r="F46" i="8"/>
  <c r="B46" i="8"/>
  <c r="G45" i="8"/>
  <c r="F45" i="8"/>
  <c r="B45" i="8"/>
  <c r="G44" i="8"/>
  <c r="F44" i="8"/>
  <c r="B44" i="8"/>
  <c r="G43" i="8"/>
  <c r="F43" i="8"/>
  <c r="B43" i="8"/>
  <c r="G42" i="8"/>
  <c r="F42" i="8"/>
  <c r="B42" i="8"/>
  <c r="G41" i="8"/>
  <c r="F41" i="8"/>
  <c r="B41" i="8"/>
  <c r="G39" i="8"/>
  <c r="F39" i="8"/>
  <c r="B39" i="8"/>
  <c r="G40" i="8"/>
  <c r="F40" i="8"/>
  <c r="B40" i="8"/>
  <c r="G37" i="8"/>
  <c r="F37" i="8"/>
  <c r="B37" i="8"/>
  <c r="G38" i="8"/>
  <c r="F38" i="8"/>
  <c r="B38" i="8"/>
  <c r="G36" i="8"/>
  <c r="F36" i="8"/>
  <c r="B36" i="8"/>
  <c r="G35" i="8"/>
  <c r="F35" i="8"/>
  <c r="B35" i="8"/>
  <c r="G33" i="8"/>
  <c r="F33" i="8"/>
  <c r="B33" i="8"/>
  <c r="G34" i="8"/>
  <c r="F34" i="8"/>
  <c r="B34" i="8"/>
  <c r="F32" i="8"/>
  <c r="B32" i="8"/>
  <c r="G31" i="8"/>
  <c r="F31" i="8"/>
  <c r="B31" i="8"/>
  <c r="G30" i="8"/>
  <c r="F30" i="8"/>
  <c r="B30" i="8"/>
  <c r="G29" i="8"/>
  <c r="F29" i="8"/>
  <c r="B29" i="8"/>
  <c r="G28" i="8"/>
  <c r="F28" i="8"/>
  <c r="B28" i="8"/>
  <c r="G27" i="8"/>
  <c r="F27" i="8"/>
  <c r="B27" i="8"/>
  <c r="G26" i="8"/>
  <c r="F26" i="8"/>
  <c r="B26" i="8"/>
  <c r="G25" i="8"/>
  <c r="F25" i="8"/>
  <c r="B25" i="8"/>
  <c r="G24" i="8"/>
  <c r="F24" i="8"/>
  <c r="B24" i="8"/>
  <c r="G23" i="8"/>
  <c r="F23" i="8"/>
  <c r="B23" i="8"/>
  <c r="G22" i="8"/>
  <c r="F22" i="8"/>
  <c r="B22" i="8"/>
  <c r="G21" i="8"/>
  <c r="F21" i="8"/>
  <c r="B21" i="8"/>
  <c r="G20" i="8"/>
  <c r="F20" i="8"/>
  <c r="B20" i="8"/>
  <c r="G19" i="8"/>
  <c r="F19" i="8"/>
  <c r="B19" i="8"/>
  <c r="G18" i="8"/>
  <c r="F18" i="8"/>
  <c r="B18" i="8"/>
  <c r="G17" i="8"/>
  <c r="F17" i="8"/>
  <c r="B17" i="8"/>
  <c r="G16" i="8"/>
  <c r="F16" i="8"/>
  <c r="B16" i="8"/>
  <c r="G15" i="8"/>
  <c r="F15" i="8"/>
  <c r="B15" i="8"/>
  <c r="G14" i="8"/>
  <c r="F14" i="8"/>
  <c r="B14" i="8"/>
  <c r="G13" i="8"/>
  <c r="F13" i="8"/>
  <c r="B13" i="8"/>
  <c r="G12" i="8"/>
  <c r="F12" i="8"/>
  <c r="B12" i="8"/>
  <c r="G11" i="8"/>
  <c r="F11" i="8"/>
  <c r="B11" i="8"/>
  <c r="G10" i="8"/>
  <c r="F10" i="8"/>
  <c r="B10" i="8"/>
  <c r="G9" i="8"/>
  <c r="F9" i="8"/>
  <c r="B9" i="8"/>
  <c r="G8" i="8"/>
  <c r="F8" i="8"/>
  <c r="B8" i="8"/>
  <c r="G7" i="8"/>
  <c r="F7" i="8"/>
  <c r="B7" i="8"/>
  <c r="G6" i="8"/>
  <c r="F6" i="8"/>
  <c r="B6" i="8"/>
  <c r="G5" i="8"/>
  <c r="F5" i="8"/>
  <c r="B5" i="8"/>
  <c r="G4" i="8"/>
  <c r="F4" i="8"/>
  <c r="B4" i="8"/>
  <c r="G3" i="8"/>
  <c r="F3" i="8"/>
  <c r="B3" i="8"/>
  <c r="G2" i="8"/>
  <c r="F2" i="8"/>
  <c r="B2" i="8"/>
  <c r="G77" i="7"/>
  <c r="F77" i="7"/>
  <c r="B77" i="7"/>
  <c r="G76" i="7"/>
  <c r="F76" i="7"/>
  <c r="B76" i="7"/>
  <c r="G75" i="7"/>
  <c r="F75" i="7"/>
  <c r="D75" i="7"/>
  <c r="B75" i="7"/>
  <c r="G74" i="7"/>
  <c r="F74" i="7"/>
  <c r="B74" i="7"/>
  <c r="G73" i="7"/>
  <c r="F73" i="7"/>
  <c r="D73" i="7"/>
  <c r="B73" i="7"/>
  <c r="G72" i="7"/>
  <c r="F72" i="7"/>
  <c r="D72" i="7"/>
  <c r="B72" i="7"/>
  <c r="G71" i="7"/>
  <c r="F71" i="7"/>
  <c r="D71" i="7"/>
  <c r="B71" i="7"/>
  <c r="G70" i="7"/>
  <c r="F70" i="7"/>
  <c r="B70" i="7"/>
  <c r="G69" i="7"/>
  <c r="F69" i="7"/>
  <c r="D69" i="7"/>
  <c r="B69" i="7"/>
  <c r="G68" i="7"/>
  <c r="F68" i="7"/>
  <c r="D68" i="7"/>
  <c r="B68" i="7"/>
  <c r="G67" i="7"/>
  <c r="F67" i="7"/>
  <c r="D67" i="7"/>
  <c r="B67" i="7"/>
  <c r="G66" i="7"/>
  <c r="F66" i="7"/>
  <c r="B66" i="7"/>
  <c r="G65" i="7"/>
  <c r="F65" i="7"/>
  <c r="D65" i="7"/>
  <c r="B65" i="7"/>
  <c r="G64" i="7"/>
  <c r="F64" i="7"/>
  <c r="D64" i="7"/>
  <c r="B64" i="7"/>
  <c r="G63" i="7"/>
  <c r="F63" i="7"/>
  <c r="B63" i="7"/>
  <c r="G6" i="7"/>
  <c r="F6" i="7"/>
  <c r="D6" i="7"/>
  <c r="B6" i="7"/>
  <c r="G62" i="7"/>
  <c r="F62" i="7"/>
  <c r="D62" i="7"/>
  <c r="B62" i="7"/>
  <c r="G8" i="7"/>
  <c r="F8" i="7"/>
  <c r="B8" i="7"/>
  <c r="G61" i="7"/>
  <c r="F61" i="7"/>
  <c r="D61" i="7"/>
  <c r="B61" i="7"/>
  <c r="G2" i="7"/>
  <c r="F2" i="7"/>
  <c r="D2" i="7"/>
  <c r="B2" i="7"/>
  <c r="G60" i="7"/>
  <c r="F60" i="7"/>
  <c r="B60" i="7"/>
  <c r="G59" i="7"/>
  <c r="F59" i="7"/>
  <c r="B59" i="7"/>
  <c r="G58" i="7"/>
  <c r="F58" i="7"/>
  <c r="D58" i="7"/>
  <c r="B58" i="7"/>
  <c r="G57" i="7"/>
  <c r="F57" i="7"/>
  <c r="D57" i="7"/>
  <c r="B57" i="7"/>
  <c r="G56" i="7"/>
  <c r="F56" i="7"/>
  <c r="D56" i="7"/>
  <c r="B56" i="7"/>
  <c r="G55" i="7"/>
  <c r="F55" i="7"/>
  <c r="D55" i="7"/>
  <c r="B55" i="7"/>
  <c r="G54" i="7"/>
  <c r="F54" i="7"/>
  <c r="B54" i="7"/>
  <c r="G53" i="7"/>
  <c r="F53" i="7"/>
  <c r="D53" i="7"/>
  <c r="B53" i="7"/>
  <c r="G52" i="7"/>
  <c r="F52" i="7"/>
  <c r="D52" i="7"/>
  <c r="B52" i="7"/>
  <c r="G51" i="7"/>
  <c r="F51" i="7"/>
  <c r="D51" i="7"/>
  <c r="B51" i="7"/>
  <c r="G50" i="7"/>
  <c r="F50" i="7"/>
  <c r="D50" i="7"/>
  <c r="B50" i="7"/>
  <c r="G49" i="7"/>
  <c r="F49" i="7"/>
  <c r="D49" i="7"/>
  <c r="B49" i="7"/>
  <c r="G48" i="7"/>
  <c r="F48" i="7"/>
  <c r="D48" i="7"/>
  <c r="B48" i="7"/>
  <c r="G47" i="7"/>
  <c r="F47" i="7"/>
  <c r="D47" i="7"/>
  <c r="B47" i="7"/>
  <c r="G46" i="7"/>
  <c r="F46" i="7"/>
  <c r="B46" i="7"/>
  <c r="G45" i="7"/>
  <c r="F45" i="7"/>
  <c r="B45" i="7"/>
  <c r="G44" i="7"/>
  <c r="F44" i="7"/>
  <c r="B44" i="7"/>
  <c r="G43" i="7"/>
  <c r="F43" i="7"/>
  <c r="B43" i="7"/>
  <c r="G42" i="7"/>
  <c r="F42" i="7"/>
  <c r="B42" i="7"/>
  <c r="G41" i="7"/>
  <c r="F41" i="7"/>
  <c r="B41" i="7"/>
  <c r="G40" i="7"/>
  <c r="F40" i="7"/>
  <c r="D40" i="7"/>
  <c r="B40" i="7"/>
  <c r="G39" i="7"/>
  <c r="F39" i="7"/>
  <c r="B39" i="7"/>
  <c r="G38" i="7"/>
  <c r="F38" i="7"/>
  <c r="B38" i="7"/>
  <c r="F37" i="7"/>
  <c r="B37" i="7"/>
  <c r="G36" i="7"/>
  <c r="F36" i="7"/>
  <c r="D36" i="7"/>
  <c r="B36" i="7"/>
  <c r="G35" i="7"/>
  <c r="F35" i="7"/>
  <c r="B35" i="7"/>
  <c r="G34" i="7"/>
  <c r="F34" i="7"/>
  <c r="D34" i="7"/>
  <c r="B34" i="7"/>
  <c r="G33" i="7"/>
  <c r="F33" i="7"/>
  <c r="B33" i="7"/>
  <c r="G32" i="7"/>
  <c r="F32" i="7"/>
  <c r="D32" i="7"/>
  <c r="B32" i="7"/>
  <c r="G31" i="7"/>
  <c r="F31" i="7"/>
  <c r="B31" i="7"/>
  <c r="G30" i="7"/>
  <c r="F30" i="7"/>
  <c r="B30" i="7"/>
  <c r="G29" i="7"/>
  <c r="F29" i="7"/>
  <c r="D29" i="7"/>
  <c r="B29" i="7"/>
  <c r="G28" i="7"/>
  <c r="F28" i="7"/>
  <c r="D28" i="7"/>
  <c r="B28" i="7"/>
  <c r="G27" i="7"/>
  <c r="F27" i="7"/>
  <c r="D27" i="7"/>
  <c r="B27" i="7"/>
  <c r="G26" i="7"/>
  <c r="F26" i="7"/>
  <c r="D26" i="7"/>
  <c r="B26" i="7"/>
  <c r="G25" i="7"/>
  <c r="F25" i="7"/>
  <c r="D25" i="7"/>
  <c r="B25" i="7"/>
  <c r="G24" i="7"/>
  <c r="F24" i="7"/>
  <c r="B24" i="7"/>
  <c r="G23" i="7"/>
  <c r="F23" i="7"/>
  <c r="B23" i="7"/>
  <c r="G22" i="7"/>
  <c r="F22" i="7"/>
  <c r="D22" i="7"/>
  <c r="B22" i="7"/>
  <c r="G21" i="7"/>
  <c r="F21" i="7"/>
  <c r="D21" i="7"/>
  <c r="B21" i="7"/>
  <c r="G20" i="7"/>
  <c r="F20" i="7"/>
  <c r="B20" i="7"/>
  <c r="G19" i="7"/>
  <c r="F19" i="7"/>
  <c r="D19" i="7"/>
  <c r="B19" i="7"/>
  <c r="G18" i="7"/>
  <c r="F18" i="7"/>
  <c r="D18" i="7"/>
  <c r="B18" i="7"/>
  <c r="G17" i="7"/>
  <c r="F17" i="7"/>
  <c r="D17" i="7"/>
  <c r="B17" i="7"/>
  <c r="G16" i="7"/>
  <c r="F16" i="7"/>
  <c r="B16" i="7"/>
  <c r="G15" i="7"/>
  <c r="F15" i="7"/>
  <c r="B15" i="7"/>
  <c r="G14" i="7"/>
  <c r="F14" i="7"/>
  <c r="D14" i="7"/>
  <c r="B14" i="7"/>
  <c r="G13" i="7"/>
  <c r="F13" i="7"/>
  <c r="B13" i="7"/>
  <c r="G5" i="7"/>
  <c r="F5" i="7"/>
  <c r="D5" i="7"/>
  <c r="B5" i="7"/>
  <c r="G12" i="7"/>
  <c r="F12" i="7"/>
  <c r="D12" i="7"/>
  <c r="B12" i="7"/>
  <c r="G11" i="7"/>
  <c r="F11" i="7"/>
  <c r="D11" i="7"/>
  <c r="B11" i="7"/>
  <c r="G4" i="7"/>
  <c r="F4" i="7"/>
  <c r="D4" i="7"/>
  <c r="B4" i="7"/>
  <c r="G7" i="7"/>
  <c r="F7" i="7"/>
  <c r="D7" i="7"/>
  <c r="B7" i="7"/>
  <c r="G10" i="7"/>
  <c r="F10" i="7"/>
  <c r="D10" i="7"/>
  <c r="B10" i="7"/>
  <c r="F2" i="1"/>
  <c r="F3" i="1"/>
  <c r="F4" i="1"/>
  <c r="F5" i="1"/>
  <c r="F6" i="1"/>
  <c r="F7" i="1"/>
  <c r="F9" i="1"/>
  <c r="F12" i="1"/>
  <c r="F13" i="1"/>
  <c r="F14" i="1"/>
  <c r="F16" i="1"/>
  <c r="F17" i="1"/>
  <c r="F20" i="1"/>
  <c r="F21" i="1"/>
  <c r="F22" i="1"/>
  <c r="F23" i="1"/>
  <c r="F24" i="1"/>
  <c r="F27" i="1"/>
  <c r="F31" i="1"/>
  <c r="F35" i="1"/>
  <c r="F42" i="1"/>
  <c r="F43" i="1"/>
  <c r="F44" i="1"/>
  <c r="F45" i="1"/>
  <c r="F46" i="1"/>
  <c r="F47" i="1"/>
  <c r="F48" i="1"/>
  <c r="F50" i="1"/>
  <c r="F51" i="1"/>
  <c r="F52" i="1"/>
  <c r="F53" i="1"/>
  <c r="F56" i="1"/>
  <c r="F57" i="1"/>
  <c r="F61" i="1"/>
  <c r="F62" i="1"/>
  <c r="F64" i="1"/>
  <c r="F65" i="1"/>
  <c r="F67" i="1"/>
  <c r="F68" i="1"/>
  <c r="F69" i="1"/>
  <c r="F71" i="1"/>
  <c r="F72" i="1"/>
  <c r="F73" i="1"/>
  <c r="F75" i="1"/>
  <c r="G189" i="2"/>
  <c r="G188" i="2"/>
  <c r="G187" i="2"/>
  <c r="G176" i="2"/>
  <c r="G182" i="2"/>
  <c r="G178" i="2"/>
  <c r="G179" i="2"/>
  <c r="G180" i="2"/>
  <c r="G181" i="2"/>
  <c r="G186" i="2"/>
  <c r="G185" i="2"/>
  <c r="G138" i="2"/>
  <c r="G131" i="2"/>
  <c r="G307" i="2"/>
  <c r="G175" i="2"/>
  <c r="G174" i="2"/>
  <c r="G173" i="2"/>
  <c r="F78" i="7" l="1"/>
  <c r="F76" i="8"/>
  <c r="G201" i="2"/>
  <c r="G200" i="2"/>
  <c r="G199" i="2"/>
  <c r="G198" i="2"/>
  <c r="G197" i="2"/>
  <c r="G183" i="2"/>
  <c r="D30" i="8" s="1"/>
  <c r="G184" i="2"/>
  <c r="D25" i="8" s="1"/>
  <c r="G294" i="2"/>
  <c r="F25" i="1" l="1"/>
  <c r="D30" i="7"/>
  <c r="G129" i="2"/>
  <c r="G192" i="2"/>
  <c r="G191" i="2"/>
  <c r="G190" i="2"/>
  <c r="G196" i="2" l="1"/>
  <c r="G195" i="2"/>
  <c r="G194" i="2"/>
  <c r="G193" i="2"/>
  <c r="G159" i="2" l="1"/>
  <c r="C93" i="4" l="1"/>
  <c r="G202" i="2" s="1"/>
  <c r="H3" i="1" l="1"/>
  <c r="H4" i="1"/>
  <c r="H5" i="1"/>
  <c r="H6" i="1"/>
  <c r="H7" i="1"/>
  <c r="H9" i="1"/>
  <c r="H12" i="1"/>
  <c r="H13" i="1"/>
  <c r="H14" i="1"/>
  <c r="H16" i="1"/>
  <c r="H17" i="1"/>
  <c r="H20" i="1"/>
  <c r="H21" i="1"/>
  <c r="H22" i="1"/>
  <c r="H23" i="1"/>
  <c r="H24" i="1"/>
  <c r="H25" i="1"/>
  <c r="H27" i="1"/>
  <c r="H31" i="1"/>
  <c r="H35" i="1"/>
  <c r="H42" i="1"/>
  <c r="H43" i="1"/>
  <c r="H44" i="1"/>
  <c r="H45" i="1"/>
  <c r="H46" i="1"/>
  <c r="H47" i="1"/>
  <c r="H48" i="1"/>
  <c r="H50" i="1"/>
  <c r="H51" i="1"/>
  <c r="H52" i="1"/>
  <c r="H53" i="1"/>
  <c r="H56" i="1"/>
  <c r="H57" i="1"/>
  <c r="H61" i="1"/>
  <c r="H62" i="1"/>
  <c r="H64" i="1"/>
  <c r="H65" i="1"/>
  <c r="H67" i="1"/>
  <c r="H68" i="1"/>
  <c r="H69" i="1"/>
  <c r="H71" i="1"/>
  <c r="H72" i="1"/>
  <c r="H73" i="1"/>
  <c r="H75" i="1"/>
  <c r="D3" i="1" l="1"/>
  <c r="D4" i="1"/>
  <c r="D5" i="1"/>
  <c r="D6" i="1"/>
  <c r="D7" i="1"/>
  <c r="D9" i="1"/>
  <c r="D12" i="1"/>
  <c r="D13" i="1"/>
  <c r="D14" i="1"/>
  <c r="D16" i="1"/>
  <c r="D17" i="1"/>
  <c r="D20" i="1"/>
  <c r="D21" i="1"/>
  <c r="D22" i="1"/>
  <c r="D23" i="1"/>
  <c r="D24" i="1"/>
  <c r="D25" i="1"/>
  <c r="D27" i="1"/>
  <c r="D31" i="1"/>
  <c r="D35" i="1"/>
  <c r="D42" i="1"/>
  <c r="D43" i="1"/>
  <c r="D44" i="1"/>
  <c r="D45" i="1"/>
  <c r="D46" i="1"/>
  <c r="D47" i="1"/>
  <c r="D48" i="1"/>
  <c r="D50" i="1"/>
  <c r="D51" i="1"/>
  <c r="D52" i="1"/>
  <c r="D53" i="1"/>
  <c r="D56" i="1"/>
  <c r="D57" i="1"/>
  <c r="D61" i="1"/>
  <c r="D62" i="1"/>
  <c r="D64" i="1"/>
  <c r="D65" i="1"/>
  <c r="D67" i="1"/>
  <c r="D68" i="1"/>
  <c r="D69" i="1"/>
  <c r="D71" i="1"/>
  <c r="D72" i="1"/>
  <c r="D73" i="1"/>
  <c r="D75" i="1"/>
  <c r="B75" i="1"/>
  <c r="J75" i="1"/>
  <c r="K75" i="1"/>
  <c r="B71" i="1"/>
  <c r="J71" i="1"/>
  <c r="K71" i="1"/>
  <c r="B72" i="1"/>
  <c r="J72" i="1"/>
  <c r="K72" i="1"/>
  <c r="B65" i="1"/>
  <c r="J65" i="1"/>
  <c r="K65" i="1"/>
  <c r="B66" i="1"/>
  <c r="J66" i="1"/>
  <c r="K66" i="1"/>
  <c r="B67" i="1"/>
  <c r="J67" i="1"/>
  <c r="K67" i="1"/>
  <c r="B68" i="1"/>
  <c r="J68" i="1"/>
  <c r="K68" i="1"/>
  <c r="B69" i="1"/>
  <c r="J69" i="1"/>
  <c r="K69" i="1"/>
  <c r="B62" i="1"/>
  <c r="J62" i="1"/>
  <c r="K62" i="1"/>
  <c r="B63" i="1"/>
  <c r="J63" i="1"/>
  <c r="K63" i="1"/>
  <c r="B61" i="1"/>
  <c r="J61" i="1"/>
  <c r="K61" i="1"/>
  <c r="B57" i="1"/>
  <c r="J57" i="1"/>
  <c r="K57" i="1"/>
  <c r="B56" i="1"/>
  <c r="J56" i="1"/>
  <c r="K56" i="1"/>
  <c r="B50" i="1"/>
  <c r="J50" i="1"/>
  <c r="K50" i="1"/>
  <c r="B51" i="1"/>
  <c r="J51" i="1"/>
  <c r="K51" i="1"/>
  <c r="B52" i="1"/>
  <c r="J52" i="1"/>
  <c r="K52" i="1"/>
  <c r="B53" i="1"/>
  <c r="J53" i="1"/>
  <c r="K53" i="1"/>
  <c r="B42" i="1"/>
  <c r="J42" i="1"/>
  <c r="K42" i="1"/>
  <c r="B43" i="1"/>
  <c r="J43" i="1"/>
  <c r="K43" i="1"/>
  <c r="B44" i="1"/>
  <c r="J44" i="1"/>
  <c r="K44" i="1"/>
  <c r="B45" i="1"/>
  <c r="J45" i="1"/>
  <c r="K45" i="1"/>
  <c r="B46" i="1"/>
  <c r="J46" i="1"/>
  <c r="K46" i="1"/>
  <c r="B47" i="1"/>
  <c r="J47" i="1"/>
  <c r="K47" i="1"/>
  <c r="B48" i="1"/>
  <c r="J48" i="1"/>
  <c r="K48" i="1"/>
  <c r="B35" i="1"/>
  <c r="J35" i="1"/>
  <c r="K35" i="1"/>
  <c r="B30" i="1"/>
  <c r="J30" i="1"/>
  <c r="K30" i="1"/>
  <c r="B31" i="1"/>
  <c r="J31" i="1"/>
  <c r="K31" i="1"/>
  <c r="B27" i="1"/>
  <c r="J27" i="1"/>
  <c r="K27" i="1"/>
  <c r="B24" i="1"/>
  <c r="J24" i="1"/>
  <c r="K24" i="1"/>
  <c r="B21" i="1"/>
  <c r="J21" i="1"/>
  <c r="K21" i="1"/>
  <c r="B22" i="1"/>
  <c r="J22" i="1"/>
  <c r="K22" i="1"/>
  <c r="B23" i="1"/>
  <c r="J23" i="1"/>
  <c r="K23" i="1"/>
  <c r="B17" i="1"/>
  <c r="J17" i="1"/>
  <c r="K17" i="1"/>
  <c r="B16" i="1"/>
  <c r="J16" i="1"/>
  <c r="K16" i="1"/>
  <c r="B13" i="1"/>
  <c r="J13" i="1"/>
  <c r="K13" i="1"/>
  <c r="B14" i="1"/>
  <c r="J14" i="1"/>
  <c r="K14" i="1"/>
  <c r="B9" i="1"/>
  <c r="J9" i="1"/>
  <c r="K9" i="1"/>
  <c r="B2" i="1"/>
  <c r="J2" i="1"/>
  <c r="K2" i="1"/>
  <c r="B3" i="1"/>
  <c r="J3" i="1"/>
  <c r="K3" i="1"/>
  <c r="B4" i="1"/>
  <c r="J4" i="1"/>
  <c r="K4" i="1"/>
  <c r="B5" i="1"/>
  <c r="J5" i="1"/>
  <c r="K5" i="1"/>
  <c r="B6" i="1"/>
  <c r="J6" i="1"/>
  <c r="K6" i="1"/>
  <c r="B7" i="1"/>
  <c r="J7" i="1"/>
  <c r="K7" i="1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2" i="5"/>
  <c r="C3" i="5"/>
  <c r="C4" i="5"/>
  <c r="C5" i="5"/>
  <c r="B54" i="1" l="1"/>
  <c r="J54" i="1"/>
  <c r="K54" i="1"/>
  <c r="B10" i="1"/>
  <c r="J10" i="1"/>
  <c r="K10" i="1"/>
  <c r="G136" i="2"/>
  <c r="G135" i="2"/>
  <c r="G83" i="2"/>
  <c r="G24" i="2"/>
  <c r="D54" i="8" s="1"/>
  <c r="G123" i="2"/>
  <c r="G122" i="2"/>
  <c r="G121" i="2"/>
  <c r="G120" i="2"/>
  <c r="G117" i="2"/>
  <c r="G116" i="2"/>
  <c r="G114" i="2"/>
  <c r="G115" i="2"/>
  <c r="G112" i="2"/>
  <c r="G113" i="2"/>
  <c r="G110" i="2"/>
  <c r="G111" i="2"/>
  <c r="G318" i="2"/>
  <c r="G109" i="2"/>
  <c r="D124" i="2"/>
  <c r="G124" i="2"/>
  <c r="F54" i="1" l="1"/>
  <c r="D59" i="7"/>
  <c r="H54" i="1"/>
  <c r="D54" i="1"/>
  <c r="G141" i="2"/>
  <c r="G140" i="2"/>
  <c r="G139" i="2"/>
  <c r="G130" i="2"/>
  <c r="G127" i="2"/>
  <c r="G128" i="2"/>
  <c r="G125" i="2"/>
  <c r="G126" i="2"/>
  <c r="G87" i="2"/>
  <c r="G66" i="2"/>
  <c r="D37" i="4" l="1"/>
  <c r="E14" i="6"/>
  <c r="E15" i="6" s="1"/>
  <c r="E16" i="6" s="1"/>
  <c r="E17" i="6" s="1"/>
  <c r="E18" i="6" s="1"/>
  <c r="E19" i="6" s="1"/>
  <c r="E20" i="6" s="1"/>
  <c r="E21" i="6" s="1"/>
  <c r="E22" i="6" s="1"/>
  <c r="E23" i="6" s="1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G32" i="8" l="1"/>
  <c r="G76" i="8" s="1"/>
  <c r="G37" i="7"/>
  <c r="G78" i="7" s="1"/>
  <c r="G43" i="2"/>
  <c r="D28" i="8" s="1"/>
  <c r="D33" i="7" l="1"/>
  <c r="F28" i="1"/>
  <c r="D28" i="1"/>
  <c r="H28" i="1"/>
  <c r="C1" i="6"/>
  <c r="B37" i="6"/>
  <c r="D37" i="6"/>
  <c r="E39" i="6" s="1"/>
  <c r="A8" i="6" l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B77" i="1" l="1"/>
  <c r="J77" i="1"/>
  <c r="K77" i="1"/>
  <c r="B26" i="1"/>
  <c r="J26" i="1"/>
  <c r="K26" i="1"/>
  <c r="B28" i="1" l="1"/>
  <c r="J28" i="1"/>
  <c r="K28" i="1"/>
  <c r="B11" i="1" l="1"/>
  <c r="J11" i="1"/>
  <c r="K11" i="1"/>
  <c r="B55" i="1" l="1"/>
  <c r="J55" i="1"/>
  <c r="K55" i="1"/>
  <c r="G30" i="2" l="1"/>
  <c r="G31" i="2"/>
  <c r="G27" i="2"/>
  <c r="G51" i="2"/>
  <c r="G52" i="2"/>
  <c r="G53" i="2"/>
  <c r="G54" i="2"/>
  <c r="G55" i="2"/>
  <c r="G56" i="2"/>
  <c r="G57" i="2"/>
  <c r="G58" i="2"/>
  <c r="G32" i="2"/>
  <c r="G33" i="2"/>
  <c r="G59" i="2"/>
  <c r="G60" i="2"/>
  <c r="G61" i="2"/>
  <c r="G62" i="2"/>
  <c r="G63" i="2"/>
  <c r="G4" i="2"/>
  <c r="G6" i="2"/>
  <c r="G5" i="2"/>
  <c r="G7" i="2"/>
  <c r="G293" i="2"/>
  <c r="G28" i="2"/>
  <c r="G29" i="2"/>
  <c r="G64" i="2"/>
  <c r="G65" i="2"/>
  <c r="G67" i="2"/>
  <c r="G68" i="2"/>
  <c r="G69" i="2"/>
  <c r="G70" i="2"/>
  <c r="G71" i="2"/>
  <c r="G72" i="2"/>
  <c r="G25" i="2"/>
  <c r="G34" i="2"/>
  <c r="G35" i="2"/>
  <c r="G9" i="2"/>
  <c r="G10" i="2"/>
  <c r="G11" i="2"/>
  <c r="G12" i="2"/>
  <c r="G13" i="2"/>
  <c r="G14" i="2"/>
  <c r="G15" i="2"/>
  <c r="G16" i="2"/>
  <c r="G22" i="2"/>
  <c r="G17" i="2"/>
  <c r="G23" i="2"/>
  <c r="G18" i="2"/>
  <c r="G19" i="2"/>
  <c r="G79" i="2"/>
  <c r="D15" i="8" s="1"/>
  <c r="G20" i="2"/>
  <c r="G21" i="2"/>
  <c r="G37" i="2"/>
  <c r="D33" i="8" s="1"/>
  <c r="G3" i="2"/>
  <c r="D74" i="8" s="1"/>
  <c r="G44" i="2"/>
  <c r="G50" i="2"/>
  <c r="G45" i="2"/>
  <c r="G46" i="2"/>
  <c r="G47" i="2"/>
  <c r="G48" i="2"/>
  <c r="G49" i="2"/>
  <c r="G38" i="2"/>
  <c r="G39" i="2"/>
  <c r="G40" i="2"/>
  <c r="G41" i="2"/>
  <c r="G84" i="2"/>
  <c r="D8" i="8" s="1"/>
  <c r="G26" i="2"/>
  <c r="D41" i="8" s="1"/>
  <c r="G42" i="2"/>
  <c r="G73" i="2"/>
  <c r="G74" i="2"/>
  <c r="G75" i="2"/>
  <c r="G98" i="2"/>
  <c r="G93" i="2"/>
  <c r="G91" i="2"/>
  <c r="G94" i="2"/>
  <c r="G92" i="2"/>
  <c r="G86" i="2"/>
  <c r="G96" i="2"/>
  <c r="G97" i="2"/>
  <c r="G89" i="2"/>
  <c r="G90" i="2"/>
  <c r="G85" i="2"/>
  <c r="G76" i="2"/>
  <c r="G77" i="2"/>
  <c r="G78" i="2"/>
  <c r="G95" i="2"/>
  <c r="G88" i="2"/>
  <c r="D55" i="8" s="1"/>
  <c r="G80" i="2"/>
  <c r="G81" i="2"/>
  <c r="G82" i="2"/>
  <c r="G102" i="2"/>
  <c r="G101" i="2"/>
  <c r="D26" i="8" s="1"/>
  <c r="G99" i="2"/>
  <c r="G100" i="2"/>
  <c r="G103" i="2"/>
  <c r="G106" i="2"/>
  <c r="G107" i="2"/>
  <c r="G108" i="2"/>
  <c r="G137" i="2"/>
  <c r="G119" i="2"/>
  <c r="G261" i="2"/>
  <c r="G262" i="2"/>
  <c r="G263" i="2"/>
  <c r="G308" i="2"/>
  <c r="G309" i="2"/>
  <c r="G257" i="2"/>
  <c r="D29" i="8" s="1"/>
  <c r="G163" i="2"/>
  <c r="G164" i="2"/>
  <c r="G160" i="2"/>
  <c r="G165" i="2"/>
  <c r="G166" i="2"/>
  <c r="G161" i="2"/>
  <c r="G162" i="2"/>
  <c r="G104" i="2"/>
  <c r="G105" i="2"/>
  <c r="G171" i="2"/>
  <c r="G172" i="2"/>
  <c r="G167" i="2"/>
  <c r="G168" i="2"/>
  <c r="G169" i="2"/>
  <c r="G268" i="2"/>
  <c r="G145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D38" i="8" l="1"/>
  <c r="D64" i="8"/>
  <c r="D10" i="8"/>
  <c r="D11" i="8"/>
  <c r="D40" i="8"/>
  <c r="D19" i="8"/>
  <c r="D32" i="8"/>
  <c r="D58" i="8"/>
  <c r="D75" i="8"/>
  <c r="D68" i="8"/>
  <c r="D61" i="8"/>
  <c r="D37" i="8"/>
  <c r="D36" i="8"/>
  <c r="D18" i="8"/>
  <c r="D71" i="8"/>
  <c r="D39" i="8"/>
  <c r="D49" i="8"/>
  <c r="F30" i="1"/>
  <c r="D35" i="7"/>
  <c r="H30" i="1"/>
  <c r="D30" i="1"/>
  <c r="F29" i="1"/>
  <c r="H29" i="1"/>
  <c r="D29" i="1"/>
  <c r="D70" i="7"/>
  <c r="F70" i="1"/>
  <c r="D60" i="7"/>
  <c r="F55" i="1"/>
  <c r="D24" i="7"/>
  <c r="F19" i="1"/>
  <c r="D37" i="7"/>
  <c r="F32" i="1"/>
  <c r="D44" i="7"/>
  <c r="F39" i="1"/>
  <c r="D76" i="7"/>
  <c r="F76" i="1"/>
  <c r="D31" i="7"/>
  <c r="F26" i="1"/>
  <c r="F38" i="1"/>
  <c r="D43" i="7"/>
  <c r="D39" i="7"/>
  <c r="F34" i="1"/>
  <c r="F63" i="1"/>
  <c r="D63" i="7"/>
  <c r="F41" i="1"/>
  <c r="D46" i="7"/>
  <c r="D41" i="7"/>
  <c r="F36" i="1"/>
  <c r="D23" i="7"/>
  <c r="F18" i="1"/>
  <c r="D66" i="7"/>
  <c r="F66" i="1"/>
  <c r="D13" i="7"/>
  <c r="F8" i="1"/>
  <c r="D74" i="7"/>
  <c r="F74" i="1"/>
  <c r="D45" i="7"/>
  <c r="F40" i="1"/>
  <c r="D77" i="7"/>
  <c r="F77" i="1"/>
  <c r="D20" i="7"/>
  <c r="F15" i="1"/>
  <c r="F49" i="1"/>
  <c r="D54" i="7"/>
  <c r="D8" i="7"/>
  <c r="F59" i="1"/>
  <c r="F10" i="1"/>
  <c r="D15" i="7"/>
  <c r="D16" i="7"/>
  <c r="F11" i="1"/>
  <c r="F37" i="1"/>
  <c r="D42" i="7"/>
  <c r="H66" i="1"/>
  <c r="D66" i="1"/>
  <c r="H70" i="1"/>
  <c r="H26" i="1"/>
  <c r="H34" i="1"/>
  <c r="H41" i="1"/>
  <c r="H8" i="1"/>
  <c r="H15" i="1"/>
  <c r="H55" i="1"/>
  <c r="H2" i="1"/>
  <c r="D2" i="1"/>
  <c r="H37" i="1"/>
  <c r="H32" i="1"/>
  <c r="D39" i="1"/>
  <c r="H39" i="1"/>
  <c r="D59" i="1"/>
  <c r="H59" i="1"/>
  <c r="D77" i="1"/>
  <c r="H77" i="1"/>
  <c r="D76" i="1"/>
  <c r="H76" i="1"/>
  <c r="D38" i="1"/>
  <c r="H38" i="1"/>
  <c r="H63" i="1"/>
  <c r="H36" i="1"/>
  <c r="H18" i="1"/>
  <c r="H74" i="1"/>
  <c r="H40" i="1"/>
  <c r="H10" i="1"/>
  <c r="H11" i="1"/>
  <c r="H49" i="1"/>
  <c r="H19" i="1"/>
  <c r="D26" i="1"/>
  <c r="D34" i="1"/>
  <c r="D41" i="1"/>
  <c r="D63" i="1"/>
  <c r="D8" i="1"/>
  <c r="D36" i="1"/>
  <c r="D18" i="1"/>
  <c r="D70" i="1"/>
  <c r="D10" i="1"/>
  <c r="D11" i="1"/>
  <c r="D15" i="1"/>
  <c r="D74" i="1"/>
  <c r="D40" i="1"/>
  <c r="D55" i="1"/>
  <c r="D19" i="1"/>
  <c r="D49" i="1"/>
  <c r="D32" i="1"/>
  <c r="D37" i="1"/>
  <c r="B39" i="1"/>
  <c r="J39" i="1"/>
  <c r="K39" i="1"/>
  <c r="B37" i="1"/>
  <c r="J37" i="1"/>
  <c r="K37" i="1"/>
  <c r="B32" i="1"/>
  <c r="J32" i="1"/>
  <c r="K32" i="1"/>
  <c r="B41" i="1"/>
  <c r="J41" i="1"/>
  <c r="K41" i="1"/>
  <c r="B8" i="1"/>
  <c r="J8" i="1"/>
  <c r="K8" i="1"/>
  <c r="K12" i="1"/>
  <c r="K15" i="1"/>
  <c r="K18" i="1"/>
  <c r="K19" i="1"/>
  <c r="K20" i="1"/>
  <c r="K25" i="1"/>
  <c r="K29" i="1"/>
  <c r="K33" i="1"/>
  <c r="K34" i="1"/>
  <c r="K36" i="1"/>
  <c r="K38" i="1"/>
  <c r="K40" i="1"/>
  <c r="K49" i="1"/>
  <c r="K59" i="1"/>
  <c r="K64" i="1"/>
  <c r="K70" i="1"/>
  <c r="K73" i="1"/>
  <c r="K74" i="1"/>
  <c r="K76" i="1"/>
  <c r="J12" i="1"/>
  <c r="J15" i="1"/>
  <c r="J18" i="1"/>
  <c r="J19" i="1"/>
  <c r="J20" i="1"/>
  <c r="J25" i="1"/>
  <c r="J29" i="1"/>
  <c r="J33" i="1"/>
  <c r="J34" i="1"/>
  <c r="J36" i="1"/>
  <c r="J38" i="1"/>
  <c r="J40" i="1"/>
  <c r="J49" i="1"/>
  <c r="J59" i="1"/>
  <c r="J64" i="1"/>
  <c r="J70" i="1"/>
  <c r="J73" i="1"/>
  <c r="J74" i="1"/>
  <c r="J76" i="1"/>
  <c r="B76" i="1"/>
  <c r="D36" i="2"/>
  <c r="G36" i="2" s="1"/>
  <c r="E19" i="1" s="1"/>
  <c r="D34" i="8" l="1"/>
  <c r="E9" i="7"/>
  <c r="E3" i="7"/>
  <c r="I58" i="1"/>
  <c r="I60" i="1"/>
  <c r="G58" i="1"/>
  <c r="G60" i="1"/>
  <c r="E58" i="1"/>
  <c r="E60" i="1"/>
  <c r="G37" i="1"/>
  <c r="E14" i="8"/>
  <c r="E52" i="7"/>
  <c r="E67" i="7"/>
  <c r="G74" i="1"/>
  <c r="E38" i="8"/>
  <c r="E55" i="8"/>
  <c r="G2" i="1"/>
  <c r="G47" i="1"/>
  <c r="E62" i="7"/>
  <c r="E23" i="7"/>
  <c r="G4" i="1"/>
  <c r="G68" i="1"/>
  <c r="G22" i="1"/>
  <c r="E33" i="7"/>
  <c r="G35" i="1"/>
  <c r="E49" i="8"/>
  <c r="G8" i="1"/>
  <c r="E8" i="8"/>
  <c r="E18" i="8"/>
  <c r="E35" i="7"/>
  <c r="G41" i="1"/>
  <c r="E63" i="7"/>
  <c r="G70" i="1"/>
  <c r="E20" i="8"/>
  <c r="E37" i="7"/>
  <c r="E51" i="8"/>
  <c r="E64" i="8"/>
  <c r="G63" i="1"/>
  <c r="E4" i="7"/>
  <c r="E70" i="7"/>
  <c r="E58" i="8"/>
  <c r="G28" i="1"/>
  <c r="E46" i="7"/>
  <c r="E31" i="8"/>
  <c r="G61" i="1"/>
  <c r="E12" i="7"/>
  <c r="E72" i="7"/>
  <c r="E60" i="8"/>
  <c r="G26" i="1"/>
  <c r="E40" i="7"/>
  <c r="E25" i="8"/>
  <c r="G67" i="1"/>
  <c r="E13" i="7"/>
  <c r="E66" i="7"/>
  <c r="E54" i="8"/>
  <c r="G32" i="1"/>
  <c r="E42" i="7"/>
  <c r="E27" i="8"/>
  <c r="G73" i="1"/>
  <c r="G7" i="1"/>
  <c r="E8" i="7"/>
  <c r="E39" i="8"/>
  <c r="G46" i="1"/>
  <c r="E28" i="7"/>
  <c r="E13" i="8"/>
  <c r="D38" i="7"/>
  <c r="D78" i="7" s="1"/>
  <c r="G53" i="1"/>
  <c r="E17" i="7"/>
  <c r="E2" i="8"/>
  <c r="E66" i="8"/>
  <c r="G20" i="1"/>
  <c r="E54" i="7"/>
  <c r="E40" i="8"/>
  <c r="G51" i="1"/>
  <c r="E19" i="7"/>
  <c r="E4" i="8"/>
  <c r="E68" i="8"/>
  <c r="G18" i="1"/>
  <c r="E48" i="7"/>
  <c r="E34" i="8"/>
  <c r="G57" i="1"/>
  <c r="E21" i="7"/>
  <c r="E74" i="7"/>
  <c r="E62" i="8"/>
  <c r="G24" i="1"/>
  <c r="E50" i="7"/>
  <c r="E35" i="8"/>
  <c r="G65" i="1"/>
  <c r="E10" i="7"/>
  <c r="E68" i="7"/>
  <c r="E48" i="8"/>
  <c r="G38" i="1"/>
  <c r="E36" i="7"/>
  <c r="E21" i="8"/>
  <c r="F33" i="1"/>
  <c r="F78" i="1" s="1"/>
  <c r="G45" i="1"/>
  <c r="E25" i="7"/>
  <c r="E10" i="8"/>
  <c r="E74" i="8"/>
  <c r="G12" i="1"/>
  <c r="E61" i="7"/>
  <c r="E47" i="8"/>
  <c r="G43" i="1"/>
  <c r="E27" i="7"/>
  <c r="E12" i="8"/>
  <c r="G76" i="1"/>
  <c r="G10" i="1"/>
  <c r="E56" i="7"/>
  <c r="E41" i="8"/>
  <c r="G49" i="1"/>
  <c r="E29" i="7"/>
  <c r="E6" i="8"/>
  <c r="E70" i="8"/>
  <c r="G16" i="1"/>
  <c r="E58" i="7"/>
  <c r="E43" i="8"/>
  <c r="G55" i="1"/>
  <c r="E15" i="7"/>
  <c r="E76" i="7"/>
  <c r="E56" i="8"/>
  <c r="G30" i="1"/>
  <c r="E44" i="7"/>
  <c r="E29" i="8"/>
  <c r="D76" i="8"/>
  <c r="G29" i="1"/>
  <c r="E41" i="7"/>
  <c r="E26" i="8"/>
  <c r="G62" i="1"/>
  <c r="E14" i="7"/>
  <c r="E75" i="7"/>
  <c r="E63" i="8"/>
  <c r="G27" i="1"/>
  <c r="E43" i="7"/>
  <c r="E28" i="8"/>
  <c r="G59" i="1"/>
  <c r="E7" i="7"/>
  <c r="E69" i="7"/>
  <c r="E57" i="8"/>
  <c r="G33" i="1"/>
  <c r="E22" i="8"/>
  <c r="G66" i="1"/>
  <c r="E11" i="7"/>
  <c r="E71" i="7"/>
  <c r="E59" i="8"/>
  <c r="G39" i="1"/>
  <c r="E31" i="7"/>
  <c r="E16" i="8"/>
  <c r="E71" i="8"/>
  <c r="G14" i="1"/>
  <c r="E60" i="7"/>
  <c r="E45" i="8"/>
  <c r="G21" i="1"/>
  <c r="E49" i="7"/>
  <c r="E33" i="8"/>
  <c r="G52" i="1"/>
  <c r="E22" i="7"/>
  <c r="E7" i="8"/>
  <c r="E72" i="8"/>
  <c r="G19" i="1"/>
  <c r="E51" i="7"/>
  <c r="E36" i="8"/>
  <c r="G50" i="1"/>
  <c r="E16" i="7"/>
  <c r="E77" i="7"/>
  <c r="E65" i="8"/>
  <c r="G25" i="1"/>
  <c r="E45" i="7"/>
  <c r="E30" i="8"/>
  <c r="G56" i="1"/>
  <c r="E18" i="7"/>
  <c r="E3" i="8"/>
  <c r="E67" i="8"/>
  <c r="G31" i="1"/>
  <c r="E39" i="7"/>
  <c r="E24" i="8"/>
  <c r="G72" i="1"/>
  <c r="G6" i="1"/>
  <c r="E65" i="7"/>
  <c r="E53" i="8"/>
  <c r="G13" i="1"/>
  <c r="E57" i="7"/>
  <c r="E42" i="8"/>
  <c r="G44" i="1"/>
  <c r="E30" i="7"/>
  <c r="E15" i="8"/>
  <c r="G77" i="1"/>
  <c r="G11" i="1"/>
  <c r="E59" i="7"/>
  <c r="E44" i="8"/>
  <c r="G42" i="1"/>
  <c r="E24" i="7"/>
  <c r="E9" i="8"/>
  <c r="E73" i="8"/>
  <c r="G17" i="1"/>
  <c r="E53" i="7"/>
  <c r="E37" i="8"/>
  <c r="G48" i="1"/>
  <c r="E26" i="7"/>
  <c r="E11" i="8"/>
  <c r="E75" i="8"/>
  <c r="G23" i="1"/>
  <c r="E47" i="7"/>
  <c r="E32" i="8"/>
  <c r="G64" i="1"/>
  <c r="E5" i="7"/>
  <c r="E73" i="7"/>
  <c r="E61" i="8"/>
  <c r="G71" i="1"/>
  <c r="G5" i="1"/>
  <c r="E6" i="7"/>
  <c r="E50" i="8"/>
  <c r="G36" i="1"/>
  <c r="E38" i="7"/>
  <c r="E23" i="8"/>
  <c r="G69" i="1"/>
  <c r="G3" i="1"/>
  <c r="E64" i="7"/>
  <c r="E52" i="8"/>
  <c r="G34" i="1"/>
  <c r="E32" i="7"/>
  <c r="E17" i="8"/>
  <c r="G75" i="1"/>
  <c r="G9" i="1"/>
  <c r="E2" i="7"/>
  <c r="E46" i="8"/>
  <c r="G40" i="1"/>
  <c r="E34" i="7"/>
  <c r="E19" i="8"/>
  <c r="G15" i="1"/>
  <c r="E55" i="7"/>
  <c r="G54" i="1"/>
  <c r="E20" i="7"/>
  <c r="E5" i="8"/>
  <c r="E69" i="8"/>
  <c r="E49" i="1"/>
  <c r="E41" i="1"/>
  <c r="E48" i="1"/>
  <c r="E65" i="1"/>
  <c r="E72" i="1"/>
  <c r="E6" i="1"/>
  <c r="E13" i="1"/>
  <c r="E20" i="1"/>
  <c r="E35" i="1"/>
  <c r="E42" i="1"/>
  <c r="I63" i="1"/>
  <c r="I12" i="1"/>
  <c r="I19" i="1"/>
  <c r="I42" i="1"/>
  <c r="I67" i="1"/>
  <c r="I16" i="1"/>
  <c r="I47" i="1"/>
  <c r="I72" i="1"/>
  <c r="I6" i="1"/>
  <c r="E33" i="1"/>
  <c r="E40" i="1"/>
  <c r="E55" i="1"/>
  <c r="E64" i="1"/>
  <c r="E71" i="1"/>
  <c r="E5" i="1"/>
  <c r="E12" i="1"/>
  <c r="E27" i="1"/>
  <c r="E34" i="1"/>
  <c r="I53" i="1"/>
  <c r="I70" i="1"/>
  <c r="I4" i="1"/>
  <c r="I11" i="1"/>
  <c r="I34" i="1"/>
  <c r="I57" i="1"/>
  <c r="I8" i="1"/>
  <c r="I39" i="1"/>
  <c r="I64" i="1"/>
  <c r="E25" i="1"/>
  <c r="E32" i="1"/>
  <c r="E47" i="1"/>
  <c r="E54" i="1"/>
  <c r="E63" i="1"/>
  <c r="E70" i="1"/>
  <c r="E4" i="1"/>
  <c r="E11" i="1"/>
  <c r="E26" i="1"/>
  <c r="I45" i="1"/>
  <c r="I62" i="1"/>
  <c r="I3" i="1"/>
  <c r="I26" i="1"/>
  <c r="I49" i="1"/>
  <c r="I66" i="1"/>
  <c r="I31" i="1"/>
  <c r="I54" i="1"/>
  <c r="E17" i="1"/>
  <c r="E24" i="1"/>
  <c r="E39" i="1"/>
  <c r="E46" i="1"/>
  <c r="E53" i="1"/>
  <c r="E62" i="1"/>
  <c r="E77" i="1"/>
  <c r="E3" i="1"/>
  <c r="E18" i="1"/>
  <c r="I37" i="1"/>
  <c r="I52" i="1"/>
  <c r="I61" i="1"/>
  <c r="I18" i="1"/>
  <c r="I41" i="1"/>
  <c r="I56" i="1"/>
  <c r="I23" i="1"/>
  <c r="I46" i="1"/>
  <c r="E75" i="1"/>
  <c r="E9" i="1"/>
  <c r="E16" i="1"/>
  <c r="E31" i="1"/>
  <c r="E38" i="1"/>
  <c r="E45" i="1"/>
  <c r="E52" i="1"/>
  <c r="E69" i="1"/>
  <c r="E76" i="1"/>
  <c r="E10" i="1"/>
  <c r="D33" i="1"/>
  <c r="D78" i="1" s="1"/>
  <c r="I29" i="1"/>
  <c r="I44" i="1"/>
  <c r="I51" i="1"/>
  <c r="I76" i="1"/>
  <c r="I10" i="1"/>
  <c r="I33" i="1"/>
  <c r="I48" i="1"/>
  <c r="I69" i="1"/>
  <c r="I15" i="1"/>
  <c r="I38" i="1"/>
  <c r="E67" i="1"/>
  <c r="E74" i="1"/>
  <c r="E8" i="1"/>
  <c r="E23" i="1"/>
  <c r="E30" i="1"/>
  <c r="E37" i="1"/>
  <c r="E44" i="1"/>
  <c r="E61" i="1"/>
  <c r="E68" i="1"/>
  <c r="E2" i="1"/>
  <c r="I21" i="1"/>
  <c r="I36" i="1"/>
  <c r="I43" i="1"/>
  <c r="I68" i="1"/>
  <c r="I2" i="1"/>
  <c r="I25" i="1"/>
  <c r="I40" i="1"/>
  <c r="I73" i="1"/>
  <c r="I7" i="1"/>
  <c r="I30" i="1"/>
  <c r="E57" i="1"/>
  <c r="E66" i="1"/>
  <c r="E15" i="1"/>
  <c r="E22" i="1"/>
  <c r="E29" i="1"/>
  <c r="E36" i="1"/>
  <c r="E51" i="1"/>
  <c r="E59" i="1"/>
  <c r="H33" i="1"/>
  <c r="H78" i="1" s="1"/>
  <c r="I74" i="1"/>
  <c r="I13" i="1"/>
  <c r="I28" i="1"/>
  <c r="I35" i="1"/>
  <c r="I59" i="1"/>
  <c r="I17" i="1"/>
  <c r="I32" i="1"/>
  <c r="I65" i="1"/>
  <c r="I22" i="1"/>
  <c r="E56" i="1"/>
  <c r="E73" i="1"/>
  <c r="E7" i="1"/>
  <c r="E14" i="1"/>
  <c r="E21" i="1"/>
  <c r="E28" i="1"/>
  <c r="E43" i="1"/>
  <c r="E50" i="1"/>
  <c r="I71" i="1"/>
  <c r="I5" i="1"/>
  <c r="I20" i="1"/>
  <c r="I27" i="1"/>
  <c r="I50" i="1"/>
  <c r="I77" i="1"/>
  <c r="I9" i="1"/>
  <c r="I24" i="1"/>
  <c r="I55" i="1"/>
  <c r="I75" i="1"/>
  <c r="I14" i="1"/>
  <c r="K78" i="1"/>
  <c r="J78" i="1"/>
  <c r="B34" i="1"/>
  <c r="B12" i="1"/>
  <c r="B15" i="1"/>
  <c r="B18" i="1"/>
  <c r="B19" i="1"/>
  <c r="B20" i="1"/>
  <c r="B25" i="1"/>
  <c r="B29" i="1"/>
  <c r="B33" i="1"/>
  <c r="B36" i="1"/>
  <c r="B38" i="1"/>
  <c r="B40" i="1"/>
  <c r="B49" i="1"/>
  <c r="B59" i="1"/>
  <c r="B64" i="1"/>
  <c r="B70" i="1"/>
  <c r="B73" i="1"/>
  <c r="B74" i="1"/>
  <c r="E78" i="7" l="1"/>
  <c r="E76" i="8"/>
  <c r="E78" i="1"/>
  <c r="G78" i="1"/>
  <c r="I78" i="1"/>
</calcChain>
</file>

<file path=xl/sharedStrings.xml><?xml version="1.0" encoding="utf-8"?>
<sst xmlns="http://schemas.openxmlformats.org/spreadsheetml/2006/main" count="2770" uniqueCount="257">
  <si>
    <t>12 01 05</t>
  </si>
  <si>
    <t>19 12 04</t>
  </si>
  <si>
    <t>12 01 17</t>
  </si>
  <si>
    <t>10 01 01</t>
  </si>
  <si>
    <t>08 02 01</t>
  </si>
  <si>
    <t>08 03 18</t>
  </si>
  <si>
    <t xml:space="preserve">Odpadni aditivi, ki vsebujejo nevarne snovi </t>
  </si>
  <si>
    <t xml:space="preserve">Odpadni praškasti premazi </t>
  </si>
  <si>
    <t xml:space="preserve">Odpadni tiskarski tonerji, ki niso zajeti v 08 03 17 </t>
  </si>
  <si>
    <t>07 02 14*</t>
  </si>
  <si>
    <t xml:space="preserve">Pepel, žlindra in kotlovski prah (razen kotlovskega prahu iz 10 01 04) </t>
  </si>
  <si>
    <t xml:space="preserve">Delci plastike </t>
  </si>
  <si>
    <t xml:space="preserve">Odpadki, ki nastanejo pri peskanju in niso zajeti v 12 01 16 </t>
  </si>
  <si>
    <t>19 02 05*</t>
  </si>
  <si>
    <t>19 08 14</t>
  </si>
  <si>
    <t xml:space="preserve">Klas. št. </t>
  </si>
  <si>
    <t xml:space="preserve">Naziv </t>
  </si>
  <si>
    <t xml:space="preserve">Mulji iz drugih čistilnih naprav tehnoloških odpadnih vod, ki niso zajeti v 10 08 13 </t>
  </si>
  <si>
    <t>12 01 15</t>
  </si>
  <si>
    <t>Strojni mulji, ki niso navedeni pod 12 01 14</t>
  </si>
  <si>
    <t>Plastika in gume</t>
  </si>
  <si>
    <t>15 01 02</t>
  </si>
  <si>
    <t>Plastična embalaža (FOLIJA)</t>
  </si>
  <si>
    <t xml:space="preserve">Vodni mulji barv ali lakov, ki vsebujejo organska topila ali druge nevarne snovi </t>
  </si>
  <si>
    <t>08 01 15*</t>
  </si>
  <si>
    <t xml:space="preserve">Odpadki, ki nastanejo pri peskanju in vsebujejo nevarne snovi </t>
  </si>
  <si>
    <t>12 01 16*</t>
  </si>
  <si>
    <t>11 01 09</t>
  </si>
  <si>
    <t xml:space="preserve">Mulji in filtrski kolači, ki vsebujejo nevarne snovi </t>
  </si>
  <si>
    <t>16 06 02</t>
  </si>
  <si>
    <t>Nikelj-kadmijeve baterije</t>
  </si>
  <si>
    <t>08 04 10</t>
  </si>
  <si>
    <t>Odpadna lepila in tesnilne mase, ki niso navedene pod 08 04 09</t>
  </si>
  <si>
    <t>Datum sprejema</t>
  </si>
  <si>
    <t>V skladišču</t>
  </si>
  <si>
    <t>Datum zadnjga sprejema</t>
  </si>
  <si>
    <t>Klasifikacija</t>
  </si>
  <si>
    <t>Opomba</t>
  </si>
  <si>
    <t>Povzročitelj</t>
  </si>
  <si>
    <t xml:space="preserve">Teža (kg)  </t>
  </si>
  <si>
    <t>Naziv</t>
  </si>
  <si>
    <t>Elan</t>
  </si>
  <si>
    <t>HDPE</t>
  </si>
  <si>
    <t>Opombe</t>
  </si>
  <si>
    <t>Datum zadnjga izvoza</t>
  </si>
  <si>
    <t>Datum izvoza</t>
  </si>
  <si>
    <t>Mletje</t>
  </si>
  <si>
    <t>Sauber</t>
  </si>
  <si>
    <t>HERZ</t>
  </si>
  <si>
    <t>ELAN</t>
  </si>
  <si>
    <t>20 01 33*</t>
  </si>
  <si>
    <t>Stolpec1</t>
  </si>
  <si>
    <t xml:space="preserve">Baterije in akumulatorji, ki so navedeni pod 16 06 01, 16 06 02 ali 16 06 03 ter nesortirane baterije in akumulatorji, ki vsebujejo te baterije in akumulatorje </t>
  </si>
  <si>
    <t>x</t>
  </si>
  <si>
    <t>Teža (kg)</t>
  </si>
  <si>
    <t xml:space="preserve">Trdne soli in raztopine, ki vsebujejo težke kovine </t>
  </si>
  <si>
    <t>06 03 13*</t>
  </si>
  <si>
    <t>YUSKAWA</t>
  </si>
  <si>
    <t>12 01 21</t>
  </si>
  <si>
    <t>Izrabljena brusilna telesa in brusilni materiali, ki niso navedeni pod 12 01 20</t>
  </si>
  <si>
    <t>12 01 02</t>
  </si>
  <si>
    <t xml:space="preserve">Prah in delci železa </t>
  </si>
  <si>
    <t>EGP</t>
  </si>
  <si>
    <t>AKRAPOVIČ</t>
  </si>
  <si>
    <t>16 03 04</t>
  </si>
  <si>
    <t>Anorganski odpadki, ki niso navedeni pod 16 03 03</t>
  </si>
  <si>
    <t>INTECTIV</t>
  </si>
  <si>
    <t>AUTOCOMMERCE</t>
  </si>
  <si>
    <t>REM</t>
  </si>
  <si>
    <t>Komentar</t>
  </si>
  <si>
    <t>MLETJE</t>
  </si>
  <si>
    <t>10 02 01</t>
  </si>
  <si>
    <t>20 01 99</t>
  </si>
  <si>
    <t>Odpadki iz predelave žlindre</t>
  </si>
  <si>
    <t>Drugi tovrstni odpadki</t>
  </si>
  <si>
    <t>LIDL</t>
  </si>
  <si>
    <t>Srečo</t>
  </si>
  <si>
    <t>Sveče</t>
  </si>
  <si>
    <t>Skupaj</t>
  </si>
  <si>
    <t>Zap. Št</t>
  </si>
  <si>
    <t>Vsota</t>
  </si>
  <si>
    <t>Embalaža:</t>
  </si>
  <si>
    <t>Masa emb.</t>
  </si>
  <si>
    <t>Razlika:</t>
  </si>
  <si>
    <t>Skupaj tehtanje:</t>
  </si>
  <si>
    <t xml:space="preserve">Neto teža (kg)  </t>
  </si>
  <si>
    <t>Kemis</t>
  </si>
  <si>
    <t>EKOLOGIJA</t>
  </si>
  <si>
    <t>Brdo</t>
  </si>
  <si>
    <t>N/A</t>
  </si>
  <si>
    <t>12 01 17*</t>
  </si>
  <si>
    <t>16 01 21*</t>
  </si>
  <si>
    <t>07 02 13</t>
  </si>
  <si>
    <t>Pipisterl</t>
  </si>
  <si>
    <t>Dihta</t>
  </si>
  <si>
    <t>Tisa</t>
  </si>
  <si>
    <t>Odpadna plastika</t>
  </si>
  <si>
    <t>Nevarne sestavine, ki niso navedene pod 16 01 07 do 16 01 11 ter 16 01 13 in 16 01 14</t>
  </si>
  <si>
    <t>Drugo</t>
  </si>
  <si>
    <t>06 01 02*</t>
  </si>
  <si>
    <t>Klorovodikova kislina</t>
  </si>
  <si>
    <t>06 01 06*</t>
  </si>
  <si>
    <t>Druge kisline</t>
  </si>
  <si>
    <t>06 02 05*</t>
  </si>
  <si>
    <t>Drugi lugi</t>
  </si>
  <si>
    <t>07 02 08*</t>
  </si>
  <si>
    <t>Drugi ostanki iz destilacij in kemijskih reakcij</t>
  </si>
  <si>
    <t>07 06 01*</t>
  </si>
  <si>
    <t>Vodne pralne raztopine in matične lužnice</t>
  </si>
  <si>
    <t>07 06 04*</t>
  </si>
  <si>
    <t>Druga organska topila, pralne tekočine in matične lužnice</t>
  </si>
  <si>
    <t>08 01 17*</t>
  </si>
  <si>
    <t>Odpadki iz odstranjevanja barv ali lakov, ki vsebujejo organska topila ali druge nevarne snovi</t>
  </si>
  <si>
    <t>08 01 19*</t>
  </si>
  <si>
    <t>Vodne suspenzije, ki vsebujejo barve in lake, ki vsebujejo organska topila ali druge nevarne snovi</t>
  </si>
  <si>
    <t>09 01 01*</t>
  </si>
  <si>
    <t>Razvijalci in aktivatorji na vodni osnovi</t>
  </si>
  <si>
    <t>09 01 02*</t>
  </si>
  <si>
    <t>Razvijalci na vodni osnovi za off-set plošče</t>
  </si>
  <si>
    <t>09 01 03*</t>
  </si>
  <si>
    <t>Razvijalci na osnovi topil</t>
  </si>
  <si>
    <t>09 01 04*</t>
  </si>
  <si>
    <t>Fiksirne raztopine</t>
  </si>
  <si>
    <t>11 01 08*</t>
  </si>
  <si>
    <t>Mulji iz fosfatiranja</t>
  </si>
  <si>
    <t>11 01 09*</t>
  </si>
  <si>
    <t>Mulji in filtrne pogače, ki vsebujejo nevarne snovi</t>
  </si>
  <si>
    <t>11 01 11*</t>
  </si>
  <si>
    <t>Tekočine za izpiranje na vodni osnovi, ki vsebujejo nevarne snovi</t>
  </si>
  <si>
    <t>11 01 13*</t>
  </si>
  <si>
    <t>Odpadki iz razmaščevanja, ki vsebujejo nevarne snovi</t>
  </si>
  <si>
    <t>12 01 07*</t>
  </si>
  <si>
    <t>Mineralna strojna olja, ki ne vsebujejo halogenov (razen emulzij in raztopin)</t>
  </si>
  <si>
    <t>13 02 05*</t>
  </si>
  <si>
    <t>Mineralna neklorirana motorna olja, olja prestavnih mehanizmov in mazalna olja</t>
  </si>
  <si>
    <t>13 05 02*</t>
  </si>
  <si>
    <t>Mulji iz naprav za ločevanje olja in vode</t>
  </si>
  <si>
    <t>13 05 07*</t>
  </si>
  <si>
    <t>Z oljem onesnažena voda iz naprav za ločevanje olja in vode</t>
  </si>
  <si>
    <t>13 07 01*</t>
  </si>
  <si>
    <t>Kurilno olje in dizel</t>
  </si>
  <si>
    <t>13 07 02*</t>
  </si>
  <si>
    <t>Bencin</t>
  </si>
  <si>
    <t>13 07 03*</t>
  </si>
  <si>
    <t>Druga goriva, tudi mešanice</t>
  </si>
  <si>
    <t>14 06 03*</t>
  </si>
  <si>
    <t>Druga topila in mešanice topil</t>
  </si>
  <si>
    <t>15 02 02*</t>
  </si>
  <si>
    <t>Absorbenti, filtrirna sredstva (tudi oljni filtri, ki niso navedeni drugje), čistilne krpe, zaščitna oblačila, onesnaženi z nevarnimi snovmi</t>
  </si>
  <si>
    <t>16 01 13*</t>
  </si>
  <si>
    <t>Zavorne tekočine</t>
  </si>
  <si>
    <t>16 01 14*</t>
  </si>
  <si>
    <t>Tekočine proti zmrzovanju, ki vsebujejo nevarne snovi</t>
  </si>
  <si>
    <t>16 01 15</t>
  </si>
  <si>
    <t>Tekočine proti zmrzovanju, ki niso navedene pod 16 01 14</t>
  </si>
  <si>
    <t>16 01 19</t>
  </si>
  <si>
    <t>Plastika</t>
  </si>
  <si>
    <t>16 05 06*</t>
  </si>
  <si>
    <t>Laboratorijske kemikalije, ki so sestavljene iz nevarne snovi ali jih vsebujejo, vključno z mešanicami laboratorijskih kemikalij</t>
  </si>
  <si>
    <t>16 05 08*</t>
  </si>
  <si>
    <t>Zavržene organske kemikalije, ki so sestavljene iz ali vsebujejo nevarne snovi</t>
  </si>
  <si>
    <t>16 06 06*</t>
  </si>
  <si>
    <t>Ločeno zbrani elektroliti iz baterij in akumulatorjev</t>
  </si>
  <si>
    <t>16 10 01*</t>
  </si>
  <si>
    <t>Odpadne vodne raztopine, ki vsebujejo nevarne snovi</t>
  </si>
  <si>
    <t>Mulji, ki nastanejo pri fizikalno-kemijski obdelavi in vsebujejo nevarne snovi</t>
  </si>
  <si>
    <t>19 03 06*</t>
  </si>
  <si>
    <t>Utrjeni (soldificirani) odpadki, označeni kot nevarni</t>
  </si>
  <si>
    <t>19 08 02</t>
  </si>
  <si>
    <t>Odpadki iz peskolovov</t>
  </si>
  <si>
    <t>Nasičene ali izrabljene smole ionskih izmenjevalnikov</t>
  </si>
  <si>
    <t>19 08 07*</t>
  </si>
  <si>
    <t>Raztopine in mulji iz regeneracije ionskih izmenjevalnikov</t>
  </si>
  <si>
    <t>19 08 09</t>
  </si>
  <si>
    <t>Masti in oljne mešanice iz naprav za ločevanje olja in vode, ki vsebujejo le jedilna olja in masti</t>
  </si>
  <si>
    <t>19 08 13*</t>
  </si>
  <si>
    <t>Mulji iz drugih čistilnih naprav tehnoloških odpadnih voda, ki vsebujejo nevarne snovi</t>
  </si>
  <si>
    <t>19 12 02</t>
  </si>
  <si>
    <t>Železne kovine</t>
  </si>
  <si>
    <t>19 12 11*</t>
  </si>
  <si>
    <t>Drugi odpadki (tudi mešanice materialov) iz mehanske obdelave odpadkov, ki vsebujejo nevarne snovi</t>
  </si>
  <si>
    <t>EKO-1</t>
  </si>
  <si>
    <t>EKO-2</t>
  </si>
  <si>
    <t>ZOKI-1</t>
  </si>
  <si>
    <t>19 09 05*</t>
  </si>
  <si>
    <t>19 02 08*</t>
  </si>
  <si>
    <t>Tekoči gorljivi odpadki, ki vsebujejo nevarne snovi</t>
  </si>
  <si>
    <t>Paletna mesta [sklad-3]</t>
  </si>
  <si>
    <t>Zaloga skupaj [kg]</t>
  </si>
  <si>
    <t>Skupaj paletnih mest</t>
  </si>
  <si>
    <t>Zaloga neto [sklad-3] (kg)</t>
  </si>
  <si>
    <t>Skladišno mesto</t>
  </si>
  <si>
    <t>Sklad-3</t>
  </si>
  <si>
    <t>Sklad-1</t>
  </si>
  <si>
    <t>Turboinstant</t>
  </si>
  <si>
    <t>Adria Mobil</t>
  </si>
  <si>
    <t>Skladišče</t>
  </si>
  <si>
    <t>16 01 21</t>
  </si>
  <si>
    <t>Komteks</t>
  </si>
  <si>
    <t>napaka</t>
  </si>
  <si>
    <t>12 01 16</t>
  </si>
  <si>
    <t>16 03 06</t>
  </si>
  <si>
    <t>Iskra Galvanika</t>
  </si>
  <si>
    <t>Akrapovič</t>
  </si>
  <si>
    <t>Preis Sevnica</t>
  </si>
  <si>
    <t>Iskra ISD</t>
  </si>
  <si>
    <t>Jenko Zoran</t>
  </si>
  <si>
    <t>Konica</t>
  </si>
  <si>
    <t>Ni datuma!</t>
  </si>
  <si>
    <t>Kovinc</t>
  </si>
  <si>
    <t>Ni datuma in teže!</t>
  </si>
  <si>
    <t>Ekoinžiniring</t>
  </si>
  <si>
    <t>PUP-Saubermacher</t>
  </si>
  <si>
    <t>KNAUF</t>
  </si>
  <si>
    <t xml:space="preserve">Zaloga neto [sklad-7] (kg)  </t>
  </si>
  <si>
    <t>Paletna mesta [sklad-7]</t>
  </si>
  <si>
    <t>Sklad-7</t>
  </si>
  <si>
    <t>Elgoline</t>
  </si>
  <si>
    <t>Lingva</t>
  </si>
  <si>
    <t>16 07 08</t>
  </si>
  <si>
    <t>08 01 12</t>
  </si>
  <si>
    <t>16 03 05</t>
  </si>
  <si>
    <t>16 05 06</t>
  </si>
  <si>
    <t>13 01 11</t>
  </si>
  <si>
    <t>Vrnjeno v skladišče - KEMIS</t>
  </si>
  <si>
    <t>Bosch</t>
  </si>
  <si>
    <t>Gebruder weis</t>
  </si>
  <si>
    <t>EKOL</t>
  </si>
  <si>
    <t>Ekol</t>
  </si>
  <si>
    <t>ODCEJENO</t>
  </si>
  <si>
    <t>Livar</t>
  </si>
  <si>
    <t>HELLA</t>
  </si>
  <si>
    <t>2P - 4.1</t>
  </si>
  <si>
    <t>5P - 6.1</t>
  </si>
  <si>
    <t>9P - 6.1</t>
  </si>
  <si>
    <t>10P - 6.1</t>
  </si>
  <si>
    <t>7P - 4.1</t>
  </si>
  <si>
    <t>14P - 8</t>
  </si>
  <si>
    <t>11P - 6.1</t>
  </si>
  <si>
    <t>6P - 5.1</t>
  </si>
  <si>
    <t>1P - 6.1</t>
  </si>
  <si>
    <t>4P - 6.1</t>
  </si>
  <si>
    <t>8P - 6.1</t>
  </si>
  <si>
    <t>3P - 5.1</t>
  </si>
  <si>
    <t>24P - 8</t>
  </si>
  <si>
    <t>NAPAKA</t>
  </si>
  <si>
    <t>5xplastični zaboj + 1x IBC</t>
  </si>
  <si>
    <t>Xenon forte</t>
  </si>
  <si>
    <t>Poclain</t>
  </si>
  <si>
    <t>Snaga Ljubljana</t>
  </si>
  <si>
    <t>drugo - cca 200kg</t>
  </si>
  <si>
    <t>Lakolit</t>
  </si>
  <si>
    <t xml:space="preserve">Prejemnik:  </t>
  </si>
  <si>
    <t>napačna teža</t>
  </si>
  <si>
    <t>Stara zaloga</t>
  </si>
  <si>
    <t>ph 14 - Stara zaloga</t>
  </si>
  <si>
    <t>pH 14 - Stara zaloga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</si>
</sst>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36"/>
      <color theme="1"/>
      <name val="Calibri"/>
      <family val="2"/>
      <charset val="238"/>
      <scheme val="minor"/>
    </font>
    <font>
      <b/>
      <sz val="14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3" fontId="1" fillId="0" borderId="1" xfId="0" applyNumberFormat="1" applyFont="1" applyFill="1" applyBorder="1" applyAlignment="1">
      <alignment horizontal="center" vertical="center" wrapText="1"/>
    </xf>
    <xf numFmtId="14" fontId="1" fillId="0" borderId="1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2" xfId="0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3" fontId="0" fillId="0" borderId="0" xfId="0" applyNumberFormat="1" applyFill="1" applyAlignment="1">
      <alignment horizontal="center" vertical="center"/>
    </xf>
    <xf numFmtId="14" fontId="0" fillId="0" borderId="0" xfId="0" applyNumberFormat="1" applyFill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3" fontId="1" fillId="0" borderId="0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Fill="1" applyBorder="1" applyAlignment="1">
      <alignment horizontal="center" vertical="center" wrapText="1"/>
    </xf>
    <xf numFmtId="3" fontId="0" fillId="0" borderId="0" xfId="0" applyNumberFormat="1" applyFill="1" applyBorder="1" applyAlignment="1">
      <alignment horizontal="center" vertical="center" wrapText="1"/>
    </xf>
    <xf numFmtId="14" fontId="0" fillId="0" borderId="0" xfId="0" applyNumberFormat="1" applyFill="1" applyBorder="1" applyAlignment="1">
      <alignment horizontal="center" vertical="center" wrapText="1"/>
    </xf>
    <xf numFmtId="14" fontId="1" fillId="0" borderId="3" xfId="0" applyNumberFormat="1" applyFont="1" applyFill="1" applyBorder="1" applyAlignment="1">
      <alignment horizontal="center" vertical="center" wrapText="1"/>
    </xf>
    <xf numFmtId="14" fontId="0" fillId="0" borderId="0" xfId="0" applyNumberFormat="1" applyFill="1"/>
    <xf numFmtId="14" fontId="0" fillId="0" borderId="0" xfId="0" applyNumberFormat="1"/>
    <xf numFmtId="3" fontId="0" fillId="0" borderId="0" xfId="0" applyNumberFormat="1" applyFill="1" applyAlignment="1">
      <alignment horizontal="center" vertical="center" wrapText="1"/>
    </xf>
    <xf numFmtId="0" fontId="0" fillId="0" borderId="0" xfId="0" applyAlignment="1"/>
    <xf numFmtId="49" fontId="0" fillId="0" borderId="0" xfId="0" applyNumberForma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wrapText="1"/>
    </xf>
    <xf numFmtId="0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Alignment="1">
      <alignment horizontal="center" vertical="center" wrapText="1"/>
    </xf>
    <xf numFmtId="0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4" fontId="0" fillId="0" borderId="0" xfId="0" applyNumberFormat="1" applyFill="1" applyAlignment="1">
      <alignment horizontal="center" vertical="center"/>
    </xf>
    <xf numFmtId="0" fontId="0" fillId="0" borderId="4" xfId="0" applyFont="1" applyBorder="1"/>
    <xf numFmtId="0" fontId="0" fillId="0" borderId="5" xfId="0" applyFont="1" applyBorder="1"/>
    <xf numFmtId="0" fontId="0" fillId="0" borderId="2" xfId="0" applyBorder="1" applyAlignment="1">
      <alignment horizontal="center" vertical="center"/>
    </xf>
    <xf numFmtId="14" fontId="0" fillId="0" borderId="0" xfId="0" applyNumberFormat="1" applyFill="1" applyAlignment="1">
      <alignment horizontal="center"/>
    </xf>
    <xf numFmtId="0" fontId="0" fillId="3" borderId="5" xfId="0" applyFont="1" applyFill="1" applyBorder="1"/>
    <xf numFmtId="0" fontId="0" fillId="3" borderId="4" xfId="0" applyFont="1" applyFill="1" applyBorder="1"/>
    <xf numFmtId="14" fontId="0" fillId="3" borderId="5" xfId="0" applyNumberFormat="1" applyFont="1" applyFill="1" applyBorder="1"/>
    <xf numFmtId="14" fontId="0" fillId="0" borderId="5" xfId="0" applyNumberFormat="1" applyFont="1" applyBorder="1"/>
    <xf numFmtId="0" fontId="5" fillId="2" borderId="1" xfId="0" applyFont="1" applyFill="1" applyBorder="1" applyAlignment="1">
      <alignment horizontal="center" vertical="center" wrapText="1"/>
    </xf>
    <xf numFmtId="3" fontId="5" fillId="2" borderId="1" xfId="0" applyNumberFormat="1" applyFont="1" applyFill="1" applyBorder="1" applyAlignment="1">
      <alignment horizontal="center" vertical="center" wrapText="1"/>
    </xf>
    <xf numFmtId="14" fontId="5" fillId="2" borderId="1" xfId="0" applyNumberFormat="1" applyFont="1" applyFill="1" applyBorder="1" applyAlignment="1">
      <alignment horizontal="center" vertical="center" wrapText="1"/>
    </xf>
    <xf numFmtId="0" fontId="0" fillId="0" borderId="7" xfId="0" applyFont="1" applyBorder="1"/>
    <xf numFmtId="0" fontId="5" fillId="2" borderId="8" xfId="0" applyFont="1" applyFill="1" applyBorder="1" applyAlignment="1">
      <alignment horizontal="center" vertical="center" wrapText="1"/>
    </xf>
    <xf numFmtId="0" fontId="0" fillId="0" borderId="0" xfId="0" applyNumberFormat="1"/>
    <xf numFmtId="0" fontId="4" fillId="0" borderId="0" xfId="0" applyFont="1" applyAlignment="1">
      <alignment vertical="center"/>
    </xf>
    <xf numFmtId="0" fontId="0" fillId="0" borderId="7" xfId="0" applyBorder="1"/>
    <xf numFmtId="0" fontId="0" fillId="0" borderId="9" xfId="0" applyBorder="1" applyAlignment="1">
      <alignment horizontal="center" vertical="center"/>
    </xf>
    <xf numFmtId="1" fontId="0" fillId="0" borderId="0" xfId="0" applyNumberFormat="1" applyFill="1"/>
    <xf numFmtId="1" fontId="0" fillId="0" borderId="0" xfId="0" applyNumberFormat="1"/>
    <xf numFmtId="49" fontId="0" fillId="0" borderId="0" xfId="0" applyNumberFormat="1"/>
    <xf numFmtId="0" fontId="0" fillId="0" borderId="4" xfId="0" applyFont="1" applyFill="1" applyBorder="1"/>
    <xf numFmtId="0" fontId="0" fillId="0" borderId="5" xfId="0" applyFont="1" applyFill="1" applyBorder="1"/>
    <xf numFmtId="14" fontId="0" fillId="0" borderId="5" xfId="0" applyNumberFormat="1" applyFont="1" applyFill="1" applyBorder="1"/>
    <xf numFmtId="0" fontId="0" fillId="0" borderId="6" xfId="0" applyFont="1" applyFill="1" applyBorder="1"/>
    <xf numFmtId="0" fontId="0" fillId="0" borderId="7" xfId="0" applyFont="1" applyFill="1" applyBorder="1"/>
    <xf numFmtId="14" fontId="0" fillId="0" borderId="7" xfId="0" applyNumberFormat="1" applyFont="1" applyFill="1" applyBorder="1"/>
    <xf numFmtId="49" fontId="7" fillId="0" borderId="0" xfId="0" applyNumberFormat="1" applyFont="1" applyBorder="1" applyAlignment="1">
      <alignment vertical="center"/>
    </xf>
    <xf numFmtId="49" fontId="0" fillId="0" borderId="0" xfId="0" applyNumberFormat="1" applyBorder="1" applyAlignment="1">
      <alignment vertical="center"/>
    </xf>
    <xf numFmtId="0" fontId="8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3" fontId="8" fillId="0" borderId="0" xfId="0" applyNumberFormat="1" applyFont="1" applyFill="1" applyBorder="1" applyAlignment="1">
      <alignment horizontal="center" vertical="center" wrapText="1"/>
    </xf>
    <xf numFmtId="14" fontId="8" fillId="0" borderId="0" xfId="0" applyNumberFormat="1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9" fillId="0" borderId="5" xfId="0" applyFont="1" applyFill="1" applyBorder="1" applyAlignment="1"/>
    <xf numFmtId="14" fontId="1" fillId="0" borderId="2" xfId="0" applyNumberFormat="1" applyFont="1" applyFill="1" applyBorder="1" applyAlignment="1">
      <alignment horizontal="center" vertical="center" wrapText="1"/>
    </xf>
    <xf numFmtId="14" fontId="0" fillId="3" borderId="0" xfId="0" applyNumberFormat="1" applyFont="1" applyFill="1" applyBorder="1"/>
    <xf numFmtId="14" fontId="0" fillId="0" borderId="0" xfId="0" applyNumberFormat="1" applyFont="1" applyBorder="1"/>
    <xf numFmtId="14" fontId="0" fillId="0" borderId="0" xfId="0" applyNumberFormat="1" applyFont="1" applyFill="1" applyBorder="1"/>
    <xf numFmtId="0" fontId="10" fillId="0" borderId="5" xfId="0" applyFont="1" applyFill="1" applyBorder="1"/>
    <xf numFmtId="0" fontId="10" fillId="0" borderId="0" xfId="0" applyFont="1" applyFill="1"/>
    <xf numFmtId="3" fontId="2" fillId="0" borderId="0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0" fillId="0" borderId="0" xfId="0" applyFont="1" applyFill="1" applyBorder="1"/>
    <xf numFmtId="0" fontId="0" fillId="0" borderId="5" xfId="0" applyBorder="1"/>
    <xf numFmtId="0" fontId="0" fillId="0" borderId="0" xfId="0" applyBorder="1"/>
    <xf numFmtId="0" fontId="0" fillId="0" borderId="6" xfId="0" applyFont="1" applyBorder="1"/>
    <xf numFmtId="0" fontId="0" fillId="0" borderId="0" xfId="0" applyNumberFormat="1" applyBorder="1"/>
    <xf numFmtId="0" fontId="0" fillId="0" borderId="0" xfId="0" applyFont="1" applyBorder="1"/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wrapText="1"/>
    </xf>
    <xf numFmtId="0" fontId="12" fillId="0" borderId="0" xfId="0" applyFont="1" applyFill="1" applyBorder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</cellXfs>
  <cellStyles count="1">
    <cellStyle name="Normal" xfId="0" builtinId="0"/>
  </cellStyles>
  <dxfs count="80">
    <dxf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19" formatCode="dd/mm/yyyy"/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19" formatCode="dd/mm/yyyy"/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top style="thin">
          <color indexed="64"/>
        </top>
        <bottom style="thin">
          <color theme="4" tint="0.39997558519241921"/>
        </bottom>
      </border>
    </dxf>
    <dxf>
      <border outline="0"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9" formatCode="dd/mm/yyyy"/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9" formatCode="dd/mm/yyyy"/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38099</xdr:colOff>
      <xdr:row>0</xdr:row>
      <xdr:rowOff>0</xdr:rowOff>
    </xdr:from>
    <xdr:to>
      <xdr:col>1</xdr:col>
      <xdr:colOff>1762125</xdr:colOff>
      <xdr:row>4</xdr:row>
      <xdr:rowOff>152400</xdr:rowOff>
    </xdr:to>
    <xdr:pic>
      <xdr:nvPicPr>
        <xdr:cNvPr id="3" name="Slika 2">
          <a:extLst>
            <a:ext uri="{FF2B5EF4-FFF2-40B4-BE49-F238E27FC236}">
              <a16:creationId xmlns:a16="http://schemas.microsoft.com/office/drawing/2014/main" id="{6E2206C0-9CA9-4D9B-A201-5E45B24D244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99" y="0"/>
          <a:ext cx="2266951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A879F7F-FFD9-44BB-A1B2-78A62E2F156D}" name="Tabela410" displayName="Tabela410" ref="A1:G76" totalsRowCount="1" headerRowDxfId="79" dataDxfId="78">
  <autoFilter ref="A1:G75" xr:uid="{6E3A0F30-4AEE-4749-8307-0ACAC019871F}"/>
  <sortState xmlns:xlrd2="http://schemas.microsoft.com/office/spreadsheetml/2017/richdata2" ref="A2:G75">
    <sortCondition ref="A1:A75"/>
  </sortState>
  <tableColumns count="7">
    <tableColumn id="1" xr3:uid="{1B5C449C-A9E6-448E-B662-E242AD827A69}" name="Klas. št. " totalsRowLabel="Skupaj" dataDxfId="13" totalsRowDxfId="6"/>
    <tableColumn id="2" xr3:uid="{437CC2C4-631A-45AC-ABE3-73638D159AC9}" name="Naziv " dataDxfId="12" totalsRowDxfId="5">
      <calculatedColumnFormula>INDEX(Seznam_klasifikacij[Naziv],MATCH(Tabela410[[#This Row],[Klas. št. ]],Seznam_klasifikacij[Klasifikacija],0))</calculatedColumnFormula>
    </tableColumn>
    <tableColumn id="3" xr3:uid="{451E130E-D442-4998-AEB2-16C9390CD3E3}" name="Opomba" dataDxfId="11" totalsRowDxfId="4"/>
    <tableColumn id="4" xr3:uid="{9E887BA2-D168-48C8-B0C6-CA987A14C136}" name="Zaloga neto [sklad-3] (kg)" totalsRowFunction="sum" dataDxfId="10" totalsRowDxfId="3">
      <calculatedColumnFormula>SUMIFS(Tabela_vhod[Teža (kg)],Tabela_vhod[Klas. št. ],Tabela410[[#This Row],[Klas. št. ]],Tabela_vhod[Opomba],Tabela410[[#This Row],[Opomba]],Tabela_vhod[V skladišču],"DA",Tabela_vhod[Skladišno mesto],"Sklad-3")</calculatedColumnFormula>
    </tableColumn>
    <tableColumn id="7" xr3:uid="{895747F8-BD7B-458A-B98B-85A3E2AE50FE}" name="Paletna mesta [sklad-3]" totalsRowFunction="sum" dataDxfId="9" totalsRowDxfId="2">
      <calculatedColumnFormula>COUNTIFS(Tabela_vhod[V skladišču],"DA",Tabela_vhod[Klas. št. ],Tabela410[[#This Row],[Klas. št. ]],Tabela_vhod[Opomba],Tabela410[[#This Row],[Opomba]],Tabela_vhod[Skladišno mesto],"Sklad-3")</calculatedColumnFormula>
    </tableColumn>
    <tableColumn id="5" xr3:uid="{CFEE4989-52AC-4808-86AA-C7FE0C118990}" name="Datum zadnjga sprejema" totalsRowFunction="max" dataDxfId="8" totalsRowDxfId="1">
      <calculatedColumnFormula>_xlfn.MAXIFS(Tabela_vhod[Datum sprejema],Tabela_vhod[Klas. št. ],Tabela410[[#This Row],[Klas. št. ]],Tabela_vhod[Opomba],Tabela410[[#This Row],[Opomba]])</calculatedColumnFormula>
    </tableColumn>
    <tableColumn id="6" xr3:uid="{FE1F2716-403C-4D31-B04A-629C1AD07322}" name="Datum zadnjga izvoza" totalsRowFunction="max" dataDxfId="7" totalsRowDxfId="0">
      <calculatedColumnFormula>_xlfn.MAXIFS(Tabela_izhod[Datum izvoza],Tabela_izhod[Klas. št. ],Tabela410[[#This Row],[Klas. št. ]],Tabela_izhod[Opomba],Tabela410[[#This Row],[Opomba]])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B1FD59C-84AC-4581-9802-93815D9228CB}" name="Tabela49" displayName="Tabela49" ref="A1:G78" totalsRowCount="1" headerRowDxfId="77" dataDxfId="76">
  <autoFilter ref="A1:G77" xr:uid="{E9718D37-FE4E-4754-9F2D-9B437B84CF0A}"/>
  <sortState xmlns:xlrd2="http://schemas.microsoft.com/office/spreadsheetml/2017/richdata2" ref="A2:G77">
    <sortCondition descending="1" ref="E1:E77"/>
  </sortState>
  <tableColumns count="7">
    <tableColumn id="1" xr3:uid="{847F2986-665C-4279-B781-B1233DD24115}" name="Klas. št. " totalsRowLabel="Skupaj" dataDxfId="75" totalsRowDxfId="74"/>
    <tableColumn id="2" xr3:uid="{0DC48B2E-63E1-4988-9985-9BF373BB4398}" name="Naziv " dataDxfId="73" totalsRowDxfId="72">
      <calculatedColumnFormula>INDEX(Seznam_klasifikacij[Naziv],MATCH(Tabela49[[#This Row],[Klas. št. ]],Seznam_klasifikacij[Klasifikacija],0))</calculatedColumnFormula>
    </tableColumn>
    <tableColumn id="3" xr3:uid="{E7B62803-F326-4ACA-93E1-E373A9D8936F}" name="Opomba" dataDxfId="71" totalsRowDxfId="70"/>
    <tableColumn id="10" xr3:uid="{FD0336ED-1BC1-43C0-BC59-EECBCE4B0DE0}" name="Zaloga neto [sklad-7] (kg)  " totalsRowFunction="sum" dataDxfId="69" totalsRowDxfId="68">
      <calculatedColumnFormula>SUMIFS(Tabela_vhod[Teža (kg)],Tabela_vhod[Klas. št. ],Tabela49[[#This Row],[Klas. št. ]],Tabela_vhod[Opomba],Tabela49[[#This Row],[Opomba]],Tabela_vhod[V skladišču],"DA",Tabela_vhod[Skladišno mesto],"Sklad-7")</calculatedColumnFormula>
    </tableColumn>
    <tableColumn id="8" xr3:uid="{0088B250-ED9A-4DAD-98A3-F031C97CF953}" name="Paletna mesta [sklad-7]" totalsRowFunction="sum" dataDxfId="67" totalsRowDxfId="66">
      <calculatedColumnFormula>COUNTIFS(Tabela_vhod[V skladišču],"DA",Tabela_vhod[Klas. št. ],Tabela49[[#This Row],[Klas. št. ]],Tabela_vhod[Opomba],Tabela49[[#This Row],[Opomba]],Tabela_vhod[Skladišno mesto],"Sklad-7")</calculatedColumnFormula>
    </tableColumn>
    <tableColumn id="5" xr3:uid="{A9790569-F6C8-442D-A058-32166443618B}" name="Datum zadnjga sprejema" totalsRowFunction="max" dataDxfId="65" totalsRowDxfId="64">
      <calculatedColumnFormula>_xlfn.MAXIFS(Tabela_vhod[Datum sprejema],Tabela_vhod[Klas. št. ],Tabela49[[#This Row],[Klas. št. ]],Tabela_vhod[Opomba],Tabela49[[#This Row],[Opomba]])</calculatedColumnFormula>
    </tableColumn>
    <tableColumn id="6" xr3:uid="{799D504A-08CE-4122-93CF-BAEF17DC115D}" name="Datum zadnjga izvoza" totalsRowFunction="max" dataDxfId="63" totalsRowDxfId="62">
      <calculatedColumnFormula>_xlfn.MAXIFS(Tabela_izhod[Datum izvoza],Tabela_izhod[Klas. št. ],Tabela49[[#This Row],[Klas. št. ]],Tabela_izhod[Opomba],Tabela49[[#This Row],[Opomba]])</calculatedColumnFormula>
    </tableColumn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7AE0E87-805A-4FC5-BB3C-812F17D8F3E1}" name="Tabela4" displayName="Tabela4" ref="A1:K78" totalsRowCount="1" headerRowDxfId="60" dataDxfId="59">
  <autoFilter ref="A1:K77" xr:uid="{92F0FAD1-DC92-4A93-AA93-1DB2DA9F0D72}"/>
  <tableColumns count="11">
    <tableColumn id="1" xr3:uid="{13A4C80E-F847-4E22-9B9B-012C7EE62F21}" name="Klas. št. " totalsRowLabel="Skupaj" dataDxfId="58" totalsRowDxfId="57"/>
    <tableColumn id="2" xr3:uid="{955DBA50-68DF-4AD9-8A2C-1872133DAD6B}" name="Naziv " dataDxfId="56" totalsRowDxfId="55">
      <calculatedColumnFormula>INDEX(Seznam_klasifikacij[Naziv],MATCH(Tabela4[[#This Row],[Klas. št. ]],Seznam_klasifikacij[Klasifikacija],0))</calculatedColumnFormula>
    </tableColumn>
    <tableColumn id="3" xr3:uid="{DA80D291-41B0-43B1-97DD-FE180146FA85}" name="Opomba" dataDxfId="54" totalsRowDxfId="53"/>
    <tableColumn id="9" xr3:uid="{8D900AC7-5EB2-4567-8E60-50ECF61C8DF0}" name="Zaloga skupaj [kg]" totalsRowFunction="sum" dataDxfId="52" totalsRowDxfId="51">
      <calculatedColumnFormula>SUMIFS(Tabela_vhod[Teža (kg)],Tabela_vhod[Klas. št. ],Tabela4[[#This Row],[Klas. št. ]],Tabela_vhod[Opomba],Tabela4[[#This Row],[Opomba]],Tabela_vhod[V skladišču],"DA")</calculatedColumnFormula>
    </tableColumn>
    <tableColumn id="11" xr3:uid="{590D009E-8C91-4B12-8026-CEA720A3D200}" name="Skupaj paletnih mest" totalsRowFunction="sum" dataDxfId="50" totalsRowDxfId="49">
      <calculatedColumnFormula>COUNTIFS(Tabela_vhod[V skladišču],"DA",Tabela_vhod[Klas. št. ],Tabela4[[#This Row],[Klas. št. ]],Tabela_vhod[Opomba],Tabela4[[#This Row],[Opomba]])</calculatedColumnFormula>
    </tableColumn>
    <tableColumn id="10" xr3:uid="{F1003293-53B8-4C58-949C-BAB27FB8F202}" name="Zaloga neto [sklad-7] (kg)  " totalsRowFunction="sum" dataDxfId="48" totalsRowDxfId="47">
      <calculatedColumnFormula>SUMIFS(Tabela_vhod[Teža (kg)],Tabela_vhod[Klas. št. ],Tabela4[[#This Row],[Klas. št. ]],Tabela_vhod[Opomba],Tabela4[[#This Row],[Opomba]],Tabela_vhod[V skladišču],"DA",Tabela_vhod[Skladišno mesto],"Sklad-7")</calculatedColumnFormula>
    </tableColumn>
    <tableColumn id="8" xr3:uid="{60254E7A-3E99-4FC7-BDBD-4A77EB515FBF}" name="Paletna mesta [sklad-7]" totalsRowFunction="sum" dataDxfId="46" totalsRowDxfId="45">
      <calculatedColumnFormula>COUNTIFS(Tabela_vhod[V skladišču],"DA",Tabela_vhod[Klas. št. ],Tabela4[[#This Row],[Klas. št. ]],Tabela_vhod[Opomba],Tabela4[[#This Row],[Opomba]],Tabela_vhod[Skladišno mesto],"Sklad-7")</calculatedColumnFormula>
    </tableColumn>
    <tableColumn id="4" xr3:uid="{A3B96C94-73E8-450B-AEC4-4D561A73946E}" name="Zaloga neto [sklad-3] (kg)" totalsRowFunction="sum" dataDxfId="44" totalsRowDxfId="43">
      <calculatedColumnFormula>SUMIFS(Tabela_vhod[Teža (kg)],Tabela_vhod[Klas. št. ],Tabela4[[#This Row],[Klas. št. ]],Tabela_vhod[Opomba],Tabela4[[#This Row],[Opomba]],Tabela_vhod[V skladišču],"DA",Tabela_vhod[Skladišno mesto],"Sklad-3")</calculatedColumnFormula>
    </tableColumn>
    <tableColumn id="7" xr3:uid="{A54D99EC-4DC1-4235-9F8F-A775AC2A808D}" name="Paletna mesta [sklad-3]" totalsRowFunction="sum" dataDxfId="42" totalsRowDxfId="41">
      <calculatedColumnFormula>COUNTIFS(Tabela_vhod[V skladišču],"DA",Tabela_vhod[Klas. št. ],Tabela4[[#This Row],[Klas. št. ]],Tabela_vhod[Opomba],Tabela4[[#This Row],[Opomba]],Tabela_vhod[Skladišno mesto],"Sklad-3")</calculatedColumnFormula>
    </tableColumn>
    <tableColumn id="5" xr3:uid="{E5E67D89-86D3-4976-B349-624C806CB04D}" name="Datum zadnjga sprejema" totalsRowFunction="max" dataDxfId="40" totalsRowDxfId="39">
      <calculatedColumnFormula>_xlfn.MAXIFS(Tabela_vhod[Datum sprejema],Tabela_vhod[Klas. št. ],Tabela4[[#This Row],[Klas. št. ]],Tabela_vhod[Opomba],Tabela4[[#This Row],[Opomba]])</calculatedColumnFormula>
    </tableColumn>
    <tableColumn id="6" xr3:uid="{57C94B17-923B-45B9-98F3-77145F9A5F34}" name="Datum zadnjga izvoza" totalsRowFunction="max" dataDxfId="38" totalsRowDxfId="37">
      <calculatedColumnFormula>_xlfn.MAXIFS(Tabela_izhod[Datum izvoza],Tabela_izhod[Klas. št. ],Tabela4[[#This Row],[Klas. št. ]],Tabela_izhod[Opomba],Tabela4[[#This Row],[Opomba]])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FC1103E-859A-47B8-84B7-62230D17E8F5}" name="Tabela7" displayName="Tabela7" ref="A6:E37" totalsRowCount="1" headerRowBorderDxfId="36" tableBorderDxfId="35" totalsRowBorderDxfId="34">
  <autoFilter ref="A6:E36" xr:uid="{5805D3E5-DA1B-46D2-8B39-AE138E8D1A1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xr3:uid="{FA33E896-26A3-4874-92F8-AA953F181354}" name="Zap. Št" totalsRowLabel="Vsota" dataDxfId="33" totalsRowDxfId="32">
      <calculatedColumnFormula>A6+1</calculatedColumnFormula>
    </tableColumn>
    <tableColumn id="1" xr3:uid="{CF03BE2D-1AF4-4DA7-B22F-1252E79C4FF7}" name="Klas. št. " totalsRowFunction="count" totalsRowDxfId="31"/>
    <tableColumn id="2" xr3:uid="{E982C7D8-0243-47FC-8D22-98058BCA971F}" name="Opomba" totalsRowDxfId="30"/>
    <tableColumn id="3" xr3:uid="{7CBFDC15-9A94-4C80-B47B-475191140313}" name="Neto teža (kg)  " totalsRowFunction="sum" totalsRowDxfId="29"/>
    <tableColumn id="4" xr3:uid="{AF484F35-71D5-45B0-B999-CC0FCAF010E9}" name="Datum izvoza" dataDxfId="28" totalsRowDxfId="27">
      <calculatedColumnFormula>IF(Tabela7[[#This Row],[Neto teža (kg)  ]]&gt;0,E6,"")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592F0C-9518-4C1E-A7E3-E9C5631532FC}" name="Tabela_vhod" displayName="Tabela_vhod" ref="A1:H334" totalsRowShown="0" headerRowDxfId="17" headerRowBorderDxfId="15" tableBorderDxfId="16">
  <autoFilter ref="A1:H334" xr:uid="{64A286C3-B4A5-46DB-BA5C-B063D8837BEA}"/>
  <sortState xmlns:xlrd2="http://schemas.microsoft.com/office/spreadsheetml/2017/richdata2" ref="A219:H250">
    <sortCondition ref="A1:A322"/>
  </sortState>
  <tableColumns count="8">
    <tableColumn id="1" xr3:uid="{F99779EB-4A2B-4D79-B3AD-A5349CD2DE39}" name="Klas. št. "/>
    <tableColumn id="6" xr3:uid="{F92111B6-1219-409A-929C-CD7F9FE67456}" name="Povzročitelj"/>
    <tableColumn id="2" xr3:uid="{AAE9B099-8E4B-4E2B-91C4-F63EB9B903D1}" name="Opomba"/>
    <tableColumn id="3" xr3:uid="{2765435A-C7E8-4B45-9389-0CF468409C0B}" name="Teža (kg)"/>
    <tableColumn id="8" xr3:uid="{6BA6A663-BAE9-4BDB-9DB0-E07D0C33F978}" name="Skladišno mesto"/>
    <tableColumn id="4" xr3:uid="{EE082583-7CDB-451F-A399-302B858DED3C}" name="Datum sprejema"/>
    <tableColumn id="5" xr3:uid="{0D8BC5D4-01AE-4FBF-B7E6-74EBCD6F3031}" name="V skladišču" dataDxfId="14">
      <calculatedColumnFormula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calculatedColumnFormula>
    </tableColumn>
    <tableColumn id="7" xr3:uid="{C6AE8782-5ABC-4516-81E5-F45E46A77D40}" name="Komenta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36B20C2-F1D9-45D8-ADCD-CD6DC4DC3D73}" name="Tabela_izhod" displayName="Tabela_izhod" ref="A1:F297" totalsRowShown="0" headerRowDxfId="26" headerRowBorderDxfId="25" tableBorderDxfId="24">
  <autoFilter ref="A1:F297" xr:uid="{907EF84B-8D57-443B-BC8D-91C40758452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E0C709ED-76B7-4798-B245-816FB1236D92}" name="Klas. št. "/>
    <tableColumn id="2" xr3:uid="{CA1A7DD4-AE00-49C4-8BDA-605D9170145B}" name="Opomba"/>
    <tableColumn id="3" xr3:uid="{49A9E553-E138-4C97-A4FB-C1E3249077B7}" name="Teža (kg)  "/>
    <tableColumn id="4" xr3:uid="{3EAC4AB4-C198-46E0-B791-0489D24C3206}" name="Datum izvoza"/>
    <tableColumn id="6" xr3:uid="{3CA4FB43-E259-498F-A97E-14BFA9CE048C}" name="Skladišče"/>
    <tableColumn id="5" xr3:uid="{F15D83DD-1368-4191-A530-7A5AB1F08B39}" name="Komenta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81AAD5-B56C-4CC0-9D4F-D288C4640D9A}" name="Seznam_klasifikacij" displayName="Seznam_klasifikacij" ref="A1:C68" totalsRowShown="0" headerRowDxfId="23" dataDxfId="22" tableBorderDxfId="21">
  <autoFilter ref="A1:C68" xr:uid="{5FE05477-3713-489E-8C4F-33695E2EBD86}"/>
  <sortState xmlns:xlrd2="http://schemas.microsoft.com/office/spreadsheetml/2017/richdata2" ref="A2:C68">
    <sortCondition ref="A1:A22"/>
  </sortState>
  <tableColumns count="3">
    <tableColumn id="1" xr3:uid="{B6EC4881-2D3E-4F3E-A9E0-8B7541236AAE}" name="Klasifikacija" dataDxfId="20"/>
    <tableColumn id="2" xr3:uid="{0B8E560D-5370-420D-9ABE-74813E0E4B15}" name="Naziv" dataDxfId="19"/>
    <tableColumn id="3" xr3:uid="{121EA176-CA9E-4BF8-9624-6DD27D2EAD1B}" name="Stolpec1" dataDxfId="18">
      <calculatedColumnFormula>IFERROR(MATCH(Seznam_klasifikacij[[#This Row],[Klasifikacija]],Tabela4[Klas. št. ],0),"Napaka")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B702FB0-1FA7-44D8-93A4-6F4AC7331593}" name="Seznam_opomb" displayName="Seznam_opomb" ref="E1:E13" totalsRowShown="0">
  <autoFilter ref="E1:E13" xr:uid="{6C4F11DE-1426-485E-AFDA-B8A2EAB796ED}">
    <filterColumn colId="0" hiddenButton="1"/>
  </autoFilter>
  <tableColumns count="1">
    <tableColumn id="1" xr3:uid="{27C1EDA5-38BD-458B-B767-54BB5F4A89F3}" name="Opomb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960D7A7-2DF1-4861-9658-1181A04A587A}" name="Tabela_sklad_mesta" displayName="Tabela_sklad_mesta" ref="G1:G5" totalsRowShown="0">
  <autoFilter ref="G1:G5" xr:uid="{02CE0BE6-1848-4B4D-A87A-22ECBB3AB0F4}"/>
  <tableColumns count="1">
    <tableColumn id="1" xr3:uid="{FF3C252A-BDCD-4869-9260-34F6D5197F36}" name="Stolpec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isarna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36CD5-2BB7-4850-848B-F10860DB68C3}">
  <sheetPr>
    <tabColor theme="4"/>
  </sheetPr>
  <dimension ref="A1:G166"/>
  <sheetViews>
    <sheetView workbookViewId="0">
      <selection activeCell="A30" sqref="A30"/>
    </sheetView>
  </sheetViews>
  <sheetFormatPr defaultRowHeight="15" x14ac:dyDescent="0.25"/>
  <cols>
    <col min="1" max="1" width="10.28515625" customWidth="1"/>
    <col min="2" max="2" width="60.5703125" style="1" customWidth="1"/>
    <col min="3" max="3" width="9.28515625" style="1" customWidth="1"/>
    <col min="4" max="4" width="10.28515625" customWidth="1"/>
    <col min="5" max="5" width="11.42578125" customWidth="1"/>
    <col min="6" max="6" width="11.7109375" customWidth="1"/>
    <col min="7" max="7" width="12.5703125" customWidth="1"/>
  </cols>
  <sheetData>
    <row r="1" spans="1:7" s="5" customFormat="1" ht="67.5" customHeight="1" x14ac:dyDescent="0.25">
      <c r="A1" s="17" t="s">
        <v>15</v>
      </c>
      <c r="B1" s="17" t="s">
        <v>16</v>
      </c>
      <c r="C1" s="17" t="s">
        <v>37</v>
      </c>
      <c r="D1" s="18" t="s">
        <v>190</v>
      </c>
      <c r="E1" s="18" t="s">
        <v>187</v>
      </c>
      <c r="F1" s="19" t="s">
        <v>35</v>
      </c>
      <c r="G1" s="22" t="s">
        <v>44</v>
      </c>
    </row>
    <row r="2" spans="1:7" s="5" customFormat="1" ht="27.75" customHeight="1" x14ac:dyDescent="0.25">
      <c r="A2" s="71" t="s">
        <v>99</v>
      </c>
      <c r="B2" s="63" t="str">
        <f>INDEX(Seznam_klasifikacij[Naziv],MATCH(Tabela410[[#This Row],[Klas. št. ]],Seznam_klasifikacij[Klasifikacija],0))</f>
        <v>Klorovodikova kislina</v>
      </c>
      <c r="C2" s="64" t="s">
        <v>53</v>
      </c>
      <c r="D2" s="65">
        <f>SUMIFS(Tabela_vhod[Teža (kg)],Tabela_vhod[Klas. št. ],Tabela410[[#This Row],[Klas. št. ]],Tabela_vhod[Opomba],Tabela410[[#This Row],[Opomba]],Tabela_vhod[V skladišču],"DA",Tabela_vhod[Skladišno mesto],"Sklad-3")</f>
        <v>0</v>
      </c>
      <c r="E2" s="65">
        <f>COUNTIFS(Tabela_vhod[V skladišču],"DA",Tabela_vhod[Klas. št. ],Tabela410[[#This Row],[Klas. št. ]],Tabela_vhod[Opomba],Tabela410[[#This Row],[Opomba]],Tabela_vhod[Skladišno mesto],"Sklad-3")</f>
        <v>0</v>
      </c>
      <c r="F2" s="66">
        <f>_xlfn.MAXIFS(Tabela_vhod[Datum sprejema],Tabela_vhod[Klas. št. ],Tabela410[[#This Row],[Klas. št. ]],Tabela_vhod[Opomba],Tabela410[[#This Row],[Opomba]])</f>
        <v>0</v>
      </c>
      <c r="G2" s="66">
        <f>_xlfn.MAXIFS(Tabela_izhod[Datum izvoza],Tabela_izhod[Klas. št. ],Tabela410[[#This Row],[Klas. št. ]],Tabela_izhod[Opomba],Tabela410[[#This Row],[Opomba]])</f>
        <v>0</v>
      </c>
    </row>
    <row r="3" spans="1:7" s="2" customFormat="1" ht="30" customHeight="1" x14ac:dyDescent="0.25">
      <c r="A3" s="71" t="s">
        <v>101</v>
      </c>
      <c r="B3" s="63" t="str">
        <f>INDEX(Seznam_klasifikacij[Naziv],MATCH(Tabela410[[#This Row],[Klas. št. ]],Seznam_klasifikacij[Klasifikacija],0))</f>
        <v>Druge kisline</v>
      </c>
      <c r="C3" s="64" t="s">
        <v>53</v>
      </c>
      <c r="D3" s="65">
        <f>SUMIFS(Tabela_vhod[Teža (kg)],Tabela_vhod[Klas. št. ],Tabela410[[#This Row],[Klas. št. ]],Tabela_vhod[Opomba],Tabela410[[#This Row],[Opomba]],Tabela_vhod[V skladišču],"DA",Tabela_vhod[Skladišno mesto],"Sklad-3")</f>
        <v>0</v>
      </c>
      <c r="E3" s="65">
        <f>COUNTIFS(Tabela_vhod[V skladišču],"DA",Tabela_vhod[Klas. št. ],Tabela410[[#This Row],[Klas. št. ]],Tabela_vhod[Opomba],Tabela410[[#This Row],[Opomba]],Tabela_vhod[Skladišno mesto],"Sklad-3")</f>
        <v>0</v>
      </c>
      <c r="F3" s="66">
        <f>_xlfn.MAXIFS(Tabela_vhod[Datum sprejema],Tabela_vhod[Klas. št. ],Tabela410[[#This Row],[Klas. št. ]],Tabela_vhod[Opomba],Tabela410[[#This Row],[Opomba]])</f>
        <v>44114</v>
      </c>
      <c r="G3" s="66">
        <f>_xlfn.MAXIFS(Tabela_izhod[Datum izvoza],Tabela_izhod[Klas. št. ],Tabela410[[#This Row],[Klas. št. ]],Tabela_izhod[Opomba],Tabela410[[#This Row],[Opomba]])</f>
        <v>0</v>
      </c>
    </row>
    <row r="4" spans="1:7" s="2" customFormat="1" ht="30" customHeight="1" x14ac:dyDescent="0.25">
      <c r="A4" s="71" t="s">
        <v>101</v>
      </c>
      <c r="B4" s="63" t="str">
        <f>INDEX(Seznam_klasifikacij[Naziv],MATCH(Tabela410[[#This Row],[Klas. št. ]],Seznam_klasifikacij[Klasifikacija],0))</f>
        <v>Druge kisline</v>
      </c>
      <c r="C4" s="64" t="s">
        <v>181</v>
      </c>
      <c r="D4" s="65">
        <f>SUMIFS(Tabela_vhod[Teža (kg)],Tabela_vhod[Klas. št. ],Tabela410[[#This Row],[Klas. št. ]],Tabela_vhod[Opomba],Tabela410[[#This Row],[Opomba]],Tabela_vhod[V skladišču],"DA",Tabela_vhod[Skladišno mesto],"Sklad-3")</f>
        <v>0</v>
      </c>
      <c r="E4" s="65">
        <f>COUNTIFS(Tabela_vhod[V skladišču],"DA",Tabela_vhod[Klas. št. ],Tabela410[[#This Row],[Klas. št. ]],Tabela_vhod[Opomba],Tabela410[[#This Row],[Opomba]],Tabela_vhod[Skladišno mesto],"Sklad-3")</f>
        <v>0</v>
      </c>
      <c r="F4" s="66">
        <f>_xlfn.MAXIFS(Tabela_vhod[Datum sprejema],Tabela_vhod[Klas. št. ],Tabela410[[#This Row],[Klas. št. ]],Tabela_vhod[Opomba],Tabela410[[#This Row],[Opomba]])</f>
        <v>44114</v>
      </c>
      <c r="G4" s="66">
        <f>_xlfn.MAXIFS(Tabela_izhod[Datum izvoza],Tabela_izhod[Klas. št. ],Tabela410[[#This Row],[Klas. št. ]],Tabela_izhod[Opomba],Tabela410[[#This Row],[Opomba]])</f>
        <v>44145</v>
      </c>
    </row>
    <row r="5" spans="1:7" s="2" customFormat="1" ht="30" customHeight="1" x14ac:dyDescent="0.25">
      <c r="A5" s="71" t="s">
        <v>101</v>
      </c>
      <c r="B5" s="63" t="str">
        <f>INDEX(Seznam_klasifikacij[Naziv],MATCH(Tabela410[[#This Row],[Klas. št. ]],Seznam_klasifikacij[Klasifikacija],0))</f>
        <v>Druge kisline</v>
      </c>
      <c r="C5" s="64" t="s">
        <v>182</v>
      </c>
      <c r="D5" s="65">
        <f>SUMIFS(Tabela_vhod[Teža (kg)],Tabela_vhod[Klas. št. ],Tabela410[[#This Row],[Klas. št. ]],Tabela_vhod[Opomba],Tabela410[[#This Row],[Opomba]],Tabela_vhod[V skladišču],"DA",Tabela_vhod[Skladišno mesto],"Sklad-3")</f>
        <v>0</v>
      </c>
      <c r="E5" s="65">
        <f>COUNTIFS(Tabela_vhod[V skladišču],"DA",Tabela_vhod[Klas. št. ],Tabela410[[#This Row],[Klas. št. ]],Tabela_vhod[Opomba],Tabela410[[#This Row],[Opomba]],Tabela_vhod[Skladišno mesto],"Sklad-3")</f>
        <v>0</v>
      </c>
      <c r="F5" s="66">
        <f>_xlfn.MAXIFS(Tabela_vhod[Datum sprejema],Tabela_vhod[Klas. št. ],Tabela410[[#This Row],[Klas. št. ]],Tabela_vhod[Opomba],Tabela410[[#This Row],[Opomba]])</f>
        <v>0</v>
      </c>
      <c r="G5" s="66">
        <f>_xlfn.MAXIFS(Tabela_izhod[Datum izvoza],Tabela_izhod[Klas. št. ],Tabela410[[#This Row],[Klas. št. ]],Tabela_izhod[Opomba],Tabela410[[#This Row],[Opomba]])</f>
        <v>0</v>
      </c>
    </row>
    <row r="6" spans="1:7" s="2" customFormat="1" ht="30" customHeight="1" x14ac:dyDescent="0.25">
      <c r="A6" s="71" t="s">
        <v>101</v>
      </c>
      <c r="B6" s="63" t="str">
        <f>INDEX(Seznam_klasifikacij[Naziv],MATCH(Tabela410[[#This Row],[Klas. št. ]],Seznam_klasifikacij[Klasifikacija],0))</f>
        <v>Druge kisline</v>
      </c>
      <c r="C6" s="64" t="s">
        <v>183</v>
      </c>
      <c r="D6" s="65">
        <f>SUMIFS(Tabela_vhod[Teža (kg)],Tabela_vhod[Klas. št. ],Tabela410[[#This Row],[Klas. št. ]],Tabela_vhod[Opomba],Tabela410[[#This Row],[Opomba]],Tabela_vhod[V skladišču],"DA",Tabela_vhod[Skladišno mesto],"Sklad-3")</f>
        <v>0</v>
      </c>
      <c r="E6" s="65">
        <f>COUNTIFS(Tabela_vhod[V skladišču],"DA",Tabela_vhod[Klas. št. ],Tabela410[[#This Row],[Klas. št. ]],Tabela_vhod[Opomba],Tabela410[[#This Row],[Opomba]],Tabela_vhod[Skladišno mesto],"Sklad-3")</f>
        <v>0</v>
      </c>
      <c r="F6" s="66">
        <f>_xlfn.MAXIFS(Tabela_vhod[Datum sprejema],Tabela_vhod[Klas. št. ],Tabela410[[#This Row],[Klas. št. ]],Tabela_vhod[Opomba],Tabela410[[#This Row],[Opomba]])</f>
        <v>0</v>
      </c>
      <c r="G6" s="66">
        <f>_xlfn.MAXIFS(Tabela_izhod[Datum izvoza],Tabela_izhod[Klas. št. ],Tabela410[[#This Row],[Klas. št. ]],Tabela_izhod[Opomba],Tabela410[[#This Row],[Opomba]])</f>
        <v>0</v>
      </c>
    </row>
    <row r="7" spans="1:7" s="2" customFormat="1" ht="30" customHeight="1" x14ac:dyDescent="0.25">
      <c r="A7" s="71" t="s">
        <v>103</v>
      </c>
      <c r="B7" s="63" t="str">
        <f>INDEX(Seznam_klasifikacij[Naziv],MATCH(Tabela410[[#This Row],[Klas. št. ]],Seznam_klasifikacij[Klasifikacija],0))</f>
        <v>Drugi lugi</v>
      </c>
      <c r="C7" s="64" t="s">
        <v>53</v>
      </c>
      <c r="D7" s="65">
        <f>SUMIFS(Tabela_vhod[Teža (kg)],Tabela_vhod[Klas. št. ],Tabela410[[#This Row],[Klas. št. ]],Tabela_vhod[Opomba],Tabela410[[#This Row],[Opomba]],Tabela_vhod[V skladišču],"DA",Tabela_vhod[Skladišno mesto],"Sklad-3")</f>
        <v>0</v>
      </c>
      <c r="E7" s="65">
        <f>COUNTIFS(Tabela_vhod[V skladišču],"DA",Tabela_vhod[Klas. št. ],Tabela410[[#This Row],[Klas. št. ]],Tabela_vhod[Opomba],Tabela410[[#This Row],[Opomba]],Tabela_vhod[Skladišno mesto],"Sklad-3")</f>
        <v>0</v>
      </c>
      <c r="F7" s="66">
        <f>_xlfn.MAXIFS(Tabela_vhod[Datum sprejema],Tabela_vhod[Klas. št. ],Tabela410[[#This Row],[Klas. št. ]],Tabela_vhod[Opomba],Tabela410[[#This Row],[Opomba]])</f>
        <v>44114</v>
      </c>
      <c r="G7" s="66">
        <f>_xlfn.MAXIFS(Tabela_izhod[Datum izvoza],Tabela_izhod[Klas. št. ],Tabela410[[#This Row],[Klas. št. ]],Tabela_izhod[Opomba],Tabela410[[#This Row],[Opomba]])</f>
        <v>44145</v>
      </c>
    </row>
    <row r="8" spans="1:7" s="2" customFormat="1" ht="30" customHeight="1" x14ac:dyDescent="0.25">
      <c r="A8" s="27" t="s">
        <v>56</v>
      </c>
      <c r="B8" s="28" t="str">
        <f>INDEX(Seznam_klasifikacij[Naziv],MATCH(Tabela410[[#This Row],[Klas. št. ]],Seznam_klasifikacij[Klasifikacija],0))</f>
        <v xml:space="preserve">Trdne soli in raztopine, ki vsebujejo težke kovine </v>
      </c>
      <c r="C8" s="28" t="s">
        <v>53</v>
      </c>
      <c r="D8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8" s="20">
        <f>COUNTIFS(Tabela_vhod[V skladišču],"DA",Tabela_vhod[Klas. št. ],Tabela410[[#This Row],[Klas. št. ]],Tabela_vhod[Opomba],Tabela410[[#This Row],[Opomba]],Tabela_vhod[Skladišno mesto],"Sklad-3")</f>
        <v>0</v>
      </c>
      <c r="F8" s="21">
        <f>_xlfn.MAXIFS(Tabela_vhod[Datum sprejema],Tabela_vhod[Klas. št. ],Tabela410[[#This Row],[Klas. št. ]],Tabela_vhod[Opomba],Tabela410[[#This Row],[Opomba]])</f>
        <v>44039</v>
      </c>
      <c r="G8" s="21">
        <f>_xlfn.MAXIFS(Tabela_izhod[Datum izvoza],Tabela_izhod[Klas. št. ],Tabela410[[#This Row],[Klas. št. ]],Tabela_izhod[Opomba],Tabela410[[#This Row],[Opomba]])</f>
        <v>44053</v>
      </c>
    </row>
    <row r="9" spans="1:7" s="2" customFormat="1" ht="30" customHeight="1" x14ac:dyDescent="0.25">
      <c r="A9" s="27" t="s">
        <v>105</v>
      </c>
      <c r="B9" s="30" t="str">
        <f>INDEX(Seznam_klasifikacij[Naziv],MATCH(Tabela410[[#This Row],[Klas. št. ]],Seznam_klasifikacij[Klasifikacija],0))</f>
        <v>Drugi ostanki iz destilacij in kemijskih reakcij</v>
      </c>
      <c r="C9" s="28" t="s">
        <v>53</v>
      </c>
      <c r="D9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9" s="20">
        <f>COUNTIFS(Tabela_vhod[V skladišču],"DA",Tabela_vhod[Klas. št. ],Tabela410[[#This Row],[Klas. št. ]],Tabela_vhod[Opomba],Tabela410[[#This Row],[Opomba]],Tabela_vhod[Skladišno mesto],"Sklad-3")</f>
        <v>0</v>
      </c>
      <c r="F9" s="21">
        <f>_xlfn.MAXIFS(Tabela_vhod[Datum sprejema],Tabela_vhod[Klas. št. ],Tabela410[[#This Row],[Klas. št. ]],Tabela_vhod[Opomba],Tabela410[[#This Row],[Opomba]])</f>
        <v>0</v>
      </c>
      <c r="G9" s="21">
        <f>_xlfn.MAXIFS(Tabela_izhod[Datum izvoza],Tabela_izhod[Klas. št. ],Tabela410[[#This Row],[Klas. št. ]],Tabela_izhod[Opomba],Tabela410[[#This Row],[Opomba]])</f>
        <v>0</v>
      </c>
    </row>
    <row r="10" spans="1:7" s="2" customFormat="1" ht="30" customHeight="1" x14ac:dyDescent="0.25">
      <c r="A10" s="27" t="s">
        <v>92</v>
      </c>
      <c r="B10" s="30" t="str">
        <f>INDEX(Seznam_klasifikacij[Naziv],MATCH(Tabela410[[#This Row],[Klas. št. ]],Seznam_klasifikacij[Klasifikacija],0))</f>
        <v>Odpadna plastika</v>
      </c>
      <c r="C10" s="28" t="s">
        <v>53</v>
      </c>
      <c r="D10" s="20">
        <f>SUMIFS(Tabela_vhod[Teža (kg)],Tabela_vhod[Klas. št. ],Tabela410[[#This Row],[Klas. št. ]],Tabela_vhod[Opomba],Tabela410[[#This Row],[Opomba]],Tabela_vhod[V skladišču],"DA",Tabela_vhod[Skladišno mesto],"Sklad-3")</f>
        <v>4</v>
      </c>
      <c r="E10" s="20">
        <f>COUNTIFS(Tabela_vhod[V skladišču],"DA",Tabela_vhod[Klas. št. ],Tabela410[[#This Row],[Klas. št. ]],Tabela_vhod[Opomba],Tabela410[[#This Row],[Opomba]],Tabela_vhod[Skladišno mesto],"Sklad-3")</f>
        <v>4</v>
      </c>
      <c r="F10" s="21">
        <f>_xlfn.MAXIFS(Tabela_vhod[Datum sprejema],Tabela_vhod[Klas. št. ],Tabela410[[#This Row],[Klas. št. ]],Tabela_vhod[Opomba],Tabela410[[#This Row],[Opomba]])</f>
        <v>44151</v>
      </c>
      <c r="G10" s="21">
        <f>_xlfn.MAXIFS(Tabela_izhod[Datum izvoza],Tabela_izhod[Klas. št. ],Tabela410[[#This Row],[Klas. št. ]],Tabela_izhod[Opomba],Tabela410[[#This Row],[Opomba]])</f>
        <v>44110</v>
      </c>
    </row>
    <row r="11" spans="1:7" s="2" customFormat="1" ht="30" customHeight="1" x14ac:dyDescent="0.25">
      <c r="A11" s="27" t="s">
        <v>9</v>
      </c>
      <c r="B11" s="30" t="str">
        <f>INDEX(Seznam_klasifikacij[Naziv],MATCH(Tabela410[[#This Row],[Klas. št. ]],Seznam_klasifikacij[Klasifikacija],0))</f>
        <v xml:space="preserve">Odpadni aditivi, ki vsebujejo nevarne snovi </v>
      </c>
      <c r="C11" s="28" t="s">
        <v>46</v>
      </c>
      <c r="D11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11" s="20">
        <f>COUNTIFS(Tabela_vhod[V skladišču],"DA",Tabela_vhod[Klas. št. ],Tabela410[[#This Row],[Klas. št. ]],Tabela_vhod[Opomba],Tabela410[[#This Row],[Opomba]],Tabela_vhod[Skladišno mesto],"Sklad-3")</f>
        <v>0</v>
      </c>
      <c r="F11" s="21">
        <f>_xlfn.MAXIFS(Tabela_vhod[Datum sprejema],Tabela_vhod[Klas. št. ],Tabela410[[#This Row],[Klas. št. ]],Tabela_vhod[Opomba],Tabela410[[#This Row],[Opomba]])</f>
        <v>44039</v>
      </c>
      <c r="G11" s="21">
        <f>_xlfn.MAXIFS(Tabela_izhod[Datum izvoza],Tabela_izhod[Klas. št. ],Tabela410[[#This Row],[Klas. št. ]],Tabela_izhod[Opomba],Tabela410[[#This Row],[Opomba]])</f>
        <v>44075</v>
      </c>
    </row>
    <row r="12" spans="1:7" s="2" customFormat="1" ht="30" customHeight="1" x14ac:dyDescent="0.25">
      <c r="A12" s="27" t="s">
        <v>9</v>
      </c>
      <c r="B12" s="28" t="str">
        <f>INDEX(Seznam_klasifikacij[Naziv],MATCH(Tabela410[[#This Row],[Klas. št. ]],Seznam_klasifikacij[Klasifikacija],0))</f>
        <v xml:space="preserve">Odpadni aditivi, ki vsebujejo nevarne snovi </v>
      </c>
      <c r="C12" s="28" t="s">
        <v>53</v>
      </c>
      <c r="D12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12" s="20">
        <f>COUNTIFS(Tabela_vhod[V skladišču],"DA",Tabela_vhod[Klas. št. ],Tabela410[[#This Row],[Klas. št. ]],Tabela_vhod[Opomba],Tabela410[[#This Row],[Opomba]],Tabela_vhod[Skladišno mesto],"Sklad-3")</f>
        <v>0</v>
      </c>
      <c r="F12" s="21">
        <f>_xlfn.MAXIFS(Tabela_vhod[Datum sprejema],Tabela_vhod[Klas. št. ],Tabela410[[#This Row],[Klas. št. ]],Tabela_vhod[Opomba],Tabela410[[#This Row],[Opomba]])</f>
        <v>0</v>
      </c>
      <c r="G12" s="21">
        <f>_xlfn.MAXIFS(Tabela_izhod[Datum izvoza],Tabela_izhod[Klas. št. ],Tabela410[[#This Row],[Klas. št. ]],Tabela_izhod[Opomba],Tabela410[[#This Row],[Opomba]])</f>
        <v>0</v>
      </c>
    </row>
    <row r="13" spans="1:7" s="2" customFormat="1" ht="30" customHeight="1" x14ac:dyDescent="0.25">
      <c r="A13" s="27" t="s">
        <v>107</v>
      </c>
      <c r="B13" s="30" t="str">
        <f>INDEX(Seznam_klasifikacij[Naziv],MATCH(Tabela410[[#This Row],[Klas. št. ]],Seznam_klasifikacij[Klasifikacija],0))</f>
        <v>Vodne pralne raztopine in matične lužnice</v>
      </c>
      <c r="C13" s="28" t="s">
        <v>53</v>
      </c>
      <c r="D13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13" s="20">
        <f>COUNTIFS(Tabela_vhod[V skladišču],"DA",Tabela_vhod[Klas. št. ],Tabela410[[#This Row],[Klas. št. ]],Tabela_vhod[Opomba],Tabela410[[#This Row],[Opomba]],Tabela_vhod[Skladišno mesto],"Sklad-3")</f>
        <v>0</v>
      </c>
      <c r="F13" s="21">
        <f>_xlfn.MAXIFS(Tabela_vhod[Datum sprejema],Tabela_vhod[Klas. št. ],Tabela410[[#This Row],[Klas. št. ]],Tabela_vhod[Opomba],Tabela410[[#This Row],[Opomba]])</f>
        <v>0</v>
      </c>
      <c r="G13" s="21">
        <f>_xlfn.MAXIFS(Tabela_izhod[Datum izvoza],Tabela_izhod[Klas. št. ],Tabela410[[#This Row],[Klas. št. ]],Tabela_izhod[Opomba],Tabela410[[#This Row],[Opomba]])</f>
        <v>0</v>
      </c>
    </row>
    <row r="14" spans="1:7" s="2" customFormat="1" ht="30" customHeight="1" x14ac:dyDescent="0.25">
      <c r="A14" s="27" t="s">
        <v>109</v>
      </c>
      <c r="B14" s="30" t="str">
        <f>INDEX(Seznam_klasifikacij[Naziv],MATCH(Tabela410[[#This Row],[Klas. št. ]],Seznam_klasifikacij[Klasifikacija],0))</f>
        <v>Druga organska topila, pralne tekočine in matične lužnice</v>
      </c>
      <c r="C14" s="28" t="s">
        <v>53</v>
      </c>
      <c r="D14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14" s="20">
        <f>COUNTIFS(Tabela_vhod[V skladišču],"DA",Tabela_vhod[Klas. št. ],Tabela410[[#This Row],[Klas. št. ]],Tabela_vhod[Opomba],Tabela410[[#This Row],[Opomba]],Tabela_vhod[Skladišno mesto],"Sklad-3")</f>
        <v>0</v>
      </c>
      <c r="F14" s="21">
        <f>_xlfn.MAXIFS(Tabela_vhod[Datum sprejema],Tabela_vhod[Klas. št. ],Tabela410[[#This Row],[Klas. št. ]],Tabela_vhod[Opomba],Tabela410[[#This Row],[Opomba]])</f>
        <v>0</v>
      </c>
      <c r="G14" s="21">
        <f>_xlfn.MAXIFS(Tabela_izhod[Datum izvoza],Tabela_izhod[Klas. št. ],Tabela410[[#This Row],[Klas. št. ]],Tabela_izhod[Opomba],Tabela410[[#This Row],[Opomba]])</f>
        <v>0</v>
      </c>
    </row>
    <row r="15" spans="1:7" s="2" customFormat="1" ht="30" customHeight="1" x14ac:dyDescent="0.25">
      <c r="A15" s="27" t="s">
        <v>24</v>
      </c>
      <c r="B15" s="28" t="str">
        <f>INDEX(Seznam_klasifikacij[Naziv],MATCH(Tabela410[[#This Row],[Klas. št. ]],Seznam_klasifikacij[Klasifikacija],0))</f>
        <v xml:space="preserve">Vodni mulji barv ali lakov, ki vsebujejo organska topila ali druge nevarne snovi </v>
      </c>
      <c r="C15" s="28" t="s">
        <v>53</v>
      </c>
      <c r="D15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15" s="20">
        <f>COUNTIFS(Tabela_vhod[V skladišču],"DA",Tabela_vhod[Klas. št. ],Tabela410[[#This Row],[Klas. št. ]],Tabela_vhod[Opomba],Tabela410[[#This Row],[Opomba]],Tabela_vhod[Skladišno mesto],"Sklad-3")</f>
        <v>0</v>
      </c>
      <c r="F15" s="21">
        <f>_xlfn.MAXIFS(Tabela_vhod[Datum sprejema],Tabela_vhod[Klas. št. ],Tabela410[[#This Row],[Klas. št. ]],Tabela_vhod[Opomba],Tabela410[[#This Row],[Opomba]])</f>
        <v>44039</v>
      </c>
      <c r="G15" s="21">
        <f>_xlfn.MAXIFS(Tabela_izhod[Datum izvoza],Tabela_izhod[Klas. št. ],Tabela410[[#This Row],[Klas. št. ]],Tabela_izhod[Opomba],Tabela410[[#This Row],[Opomba]])</f>
        <v>44049</v>
      </c>
    </row>
    <row r="16" spans="1:7" s="2" customFormat="1" ht="30" customHeight="1" x14ac:dyDescent="0.25">
      <c r="A16" s="27" t="s">
        <v>111</v>
      </c>
      <c r="B16" s="30" t="str">
        <f>INDEX(Seznam_klasifikacij[Naziv],MATCH(Tabela410[[#This Row],[Klas. št. ]],Seznam_klasifikacij[Klasifikacija],0))</f>
        <v>Odpadki iz odstranjevanja barv ali lakov, ki vsebujejo organska topila ali druge nevarne snovi</v>
      </c>
      <c r="C16" s="28" t="s">
        <v>53</v>
      </c>
      <c r="D16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16" s="20">
        <f>COUNTIFS(Tabela_vhod[V skladišču],"DA",Tabela_vhod[Klas. št. ],Tabela410[[#This Row],[Klas. št. ]],Tabela_vhod[Opomba],Tabela410[[#This Row],[Opomba]],Tabela_vhod[Skladišno mesto],"Sklad-3")</f>
        <v>0</v>
      </c>
      <c r="F16" s="21">
        <f>_xlfn.MAXIFS(Tabela_vhod[Datum sprejema],Tabela_vhod[Klas. št. ],Tabela410[[#This Row],[Klas. št. ]],Tabela_vhod[Opomba],Tabela410[[#This Row],[Opomba]])</f>
        <v>0</v>
      </c>
      <c r="G16" s="21">
        <f>_xlfn.MAXIFS(Tabela_izhod[Datum izvoza],Tabela_izhod[Klas. št. ],Tabela410[[#This Row],[Klas. št. ]],Tabela_izhod[Opomba],Tabela410[[#This Row],[Opomba]])</f>
        <v>0</v>
      </c>
    </row>
    <row r="17" spans="1:7" s="2" customFormat="1" ht="30" customHeight="1" x14ac:dyDescent="0.25">
      <c r="A17" s="27" t="s">
        <v>113</v>
      </c>
      <c r="B17" s="30" t="str">
        <f>INDEX(Seznam_klasifikacij[Naziv],MATCH(Tabela410[[#This Row],[Klas. št. ]],Seznam_klasifikacij[Klasifikacija],0))</f>
        <v>Vodne suspenzije, ki vsebujejo barve in lake, ki vsebujejo organska topila ali druge nevarne snovi</v>
      </c>
      <c r="C17" s="28" t="s">
        <v>53</v>
      </c>
      <c r="D17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17" s="20">
        <f>COUNTIFS(Tabela_vhod[V skladišču],"DA",Tabela_vhod[Klas. št. ],Tabela410[[#This Row],[Klas. št. ]],Tabela_vhod[Opomba],Tabela410[[#This Row],[Opomba]],Tabela_vhod[Skladišno mesto],"Sklad-3")</f>
        <v>0</v>
      </c>
      <c r="F17" s="21">
        <f>_xlfn.MAXIFS(Tabela_vhod[Datum sprejema],Tabela_vhod[Klas. št. ],Tabela410[[#This Row],[Klas. št. ]],Tabela_vhod[Opomba],Tabela410[[#This Row],[Opomba]])</f>
        <v>0</v>
      </c>
      <c r="G17" s="21">
        <f>_xlfn.MAXIFS(Tabela_izhod[Datum izvoza],Tabela_izhod[Klas. št. ],Tabela410[[#This Row],[Klas. št. ]],Tabela_izhod[Opomba],Tabela410[[#This Row],[Opomba]])</f>
        <v>0</v>
      </c>
    </row>
    <row r="18" spans="1:7" s="2" customFormat="1" ht="30" customHeight="1" x14ac:dyDescent="0.25">
      <c r="A18" s="27" t="s">
        <v>4</v>
      </c>
      <c r="B18" s="28" t="str">
        <f>INDEX(Seznam_klasifikacij[Naziv],MATCH(Tabela410[[#This Row],[Klas. št. ]],Seznam_klasifikacij[Klasifikacija],0))</f>
        <v xml:space="preserve">Odpadni praškasti premazi </v>
      </c>
      <c r="C18" s="28" t="s">
        <v>53</v>
      </c>
      <c r="D18" s="20">
        <f>SUMIFS(Tabela_vhod[Teža (kg)],Tabela_vhod[Klas. št. ],Tabela410[[#This Row],[Klas. št. ]],Tabela_vhod[Opomba],Tabela410[[#This Row],[Opomba]],Tabela_vhod[V skladišču],"DA",Tabela_vhod[Skladišno mesto],"Sklad-3")</f>
        <v>827</v>
      </c>
      <c r="E18" s="20">
        <f>COUNTIFS(Tabela_vhod[V skladišču],"DA",Tabela_vhod[Klas. št. ],Tabela410[[#This Row],[Klas. št. ]],Tabela_vhod[Opomba],Tabela410[[#This Row],[Opomba]],Tabela_vhod[Skladišno mesto],"Sklad-3")</f>
        <v>4</v>
      </c>
      <c r="F18" s="21">
        <f>_xlfn.MAXIFS(Tabela_vhod[Datum sprejema],Tabela_vhod[Klas. št. ],Tabela410[[#This Row],[Klas. št. ]],Tabela_vhod[Opomba],Tabela410[[#This Row],[Opomba]])</f>
        <v>44137</v>
      </c>
      <c r="G18" s="21">
        <f>_xlfn.MAXIFS(Tabela_izhod[Datum izvoza],Tabela_izhod[Klas. št. ],Tabela410[[#This Row],[Klas. št. ]],Tabela_izhod[Opomba],Tabela410[[#This Row],[Opomba]])</f>
        <v>44110</v>
      </c>
    </row>
    <row r="19" spans="1:7" s="2" customFormat="1" ht="30" customHeight="1" x14ac:dyDescent="0.25">
      <c r="A19" s="27" t="s">
        <v>5</v>
      </c>
      <c r="B19" s="28" t="str">
        <f>INDEX(Seznam_klasifikacij[Naziv],MATCH(Tabela410[[#This Row],[Klas. št. ]],Seznam_klasifikacij[Klasifikacija],0))</f>
        <v xml:space="preserve">Odpadni tiskarski tonerji, ki niso zajeti v 08 03 17 </v>
      </c>
      <c r="C19" s="28" t="s">
        <v>53</v>
      </c>
      <c r="D19" s="20">
        <f>SUMIFS(Tabela_vhod[Teža (kg)],Tabela_vhod[Klas. št. ],Tabela410[[#This Row],[Klas. št. ]],Tabela_vhod[Opomba],Tabela410[[#This Row],[Opomba]],Tabela_vhod[V skladišču],"DA",Tabela_vhod[Skladišno mesto],"Sklad-3")</f>
        <v>1159</v>
      </c>
      <c r="E19" s="20">
        <f>COUNTIFS(Tabela_vhod[V skladišču],"DA",Tabela_vhod[Klas. št. ],Tabela410[[#This Row],[Klas. št. ]],Tabela_vhod[Opomba],Tabela410[[#This Row],[Opomba]],Tabela_vhod[Skladišno mesto],"Sklad-3")</f>
        <v>6</v>
      </c>
      <c r="F19" s="21">
        <f>_xlfn.MAXIFS(Tabela_vhod[Datum sprejema],Tabela_vhod[Klas. št. ],Tabela410[[#This Row],[Klas. št. ]],Tabela_vhod[Opomba],Tabela410[[#This Row],[Opomba]])</f>
        <v>44133</v>
      </c>
      <c r="G19" s="21">
        <f>_xlfn.MAXIFS(Tabela_izhod[Datum izvoza],Tabela_izhod[Klas. št. ],Tabela410[[#This Row],[Klas. št. ]],Tabela_izhod[Opomba],Tabela410[[#This Row],[Opomba]])</f>
        <v>44131</v>
      </c>
    </row>
    <row r="20" spans="1:7" s="2" customFormat="1" ht="30" customHeight="1" x14ac:dyDescent="0.25">
      <c r="A20" s="27" t="s">
        <v>31</v>
      </c>
      <c r="B20" s="29" t="str">
        <f>INDEX(Seznam_klasifikacij[Naziv],MATCH(Tabela410[[#This Row],[Klas. št. ]],Seznam_klasifikacij[Klasifikacija],0))</f>
        <v>Odpadna lepila in tesnilne mase, ki niso navedene pod 08 04 09</v>
      </c>
      <c r="C20" s="29" t="s">
        <v>53</v>
      </c>
      <c r="D20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20" s="20">
        <f>COUNTIFS(Tabela_vhod[V skladišču],"DA",Tabela_vhod[Klas. št. ],Tabela410[[#This Row],[Klas. št. ]],Tabela_vhod[Opomba],Tabela410[[#This Row],[Opomba]],Tabela_vhod[Skladišno mesto],"Sklad-3")</f>
        <v>0</v>
      </c>
      <c r="F20" s="21">
        <f>_xlfn.MAXIFS(Tabela_vhod[Datum sprejema],Tabela_vhod[Klas. št. ],Tabela410[[#This Row],[Klas. št. ]],Tabela_vhod[Opomba],Tabela410[[#This Row],[Opomba]])</f>
        <v>0</v>
      </c>
      <c r="G20" s="21">
        <f>_xlfn.MAXIFS(Tabela_izhod[Datum izvoza],Tabela_izhod[Klas. št. ],Tabela410[[#This Row],[Klas. št. ]],Tabela_izhod[Opomba],Tabela410[[#This Row],[Opomba]])</f>
        <v>0</v>
      </c>
    </row>
    <row r="21" spans="1:7" s="2" customFormat="1" ht="30" customHeight="1" x14ac:dyDescent="0.25">
      <c r="A21" s="27" t="s">
        <v>115</v>
      </c>
      <c r="B21" s="72" t="str">
        <f>INDEX(Seznam_klasifikacij[Naziv],MATCH(Tabela410[[#This Row],[Klas. št. ]],Seznam_klasifikacij[Klasifikacija],0))</f>
        <v>Razvijalci in aktivatorji na vodni osnovi</v>
      </c>
      <c r="C21" s="73" t="s">
        <v>53</v>
      </c>
      <c r="D21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21" s="20">
        <f>COUNTIFS(Tabela_vhod[V skladišču],"DA",Tabela_vhod[Klas. št. ],Tabela410[[#This Row],[Klas. št. ]],Tabela_vhod[Opomba],Tabela410[[#This Row],[Opomba]],Tabela_vhod[Skladišno mesto],"Sklad-3")</f>
        <v>0</v>
      </c>
      <c r="F21" s="21">
        <f>_xlfn.MAXIFS(Tabela_vhod[Datum sprejema],Tabela_vhod[Klas. št. ],Tabela410[[#This Row],[Klas. št. ]],Tabela_vhod[Opomba],Tabela410[[#This Row],[Opomba]])</f>
        <v>0</v>
      </c>
      <c r="G21" s="21">
        <f>_xlfn.MAXIFS(Tabela_izhod[Datum izvoza],Tabela_izhod[Klas. št. ],Tabela410[[#This Row],[Klas. št. ]],Tabela_izhod[Opomba],Tabela410[[#This Row],[Opomba]])</f>
        <v>0</v>
      </c>
    </row>
    <row r="22" spans="1:7" s="2" customFormat="1" ht="30" customHeight="1" x14ac:dyDescent="0.25">
      <c r="A22" s="27" t="s">
        <v>117</v>
      </c>
      <c r="B22" s="72" t="str">
        <f>INDEX(Seznam_klasifikacij[Naziv],MATCH(Tabela410[[#This Row],[Klas. št. ]],Seznam_klasifikacij[Klasifikacija],0))</f>
        <v>Razvijalci na vodni osnovi za off-set plošče</v>
      </c>
      <c r="C22" s="73" t="s">
        <v>53</v>
      </c>
      <c r="D22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22" s="20">
        <f>COUNTIFS(Tabela_vhod[V skladišču],"DA",Tabela_vhod[Klas. št. ],Tabela410[[#This Row],[Klas. št. ]],Tabela_vhod[Opomba],Tabela410[[#This Row],[Opomba]],Tabela_vhod[Skladišno mesto],"Sklad-3")</f>
        <v>0</v>
      </c>
      <c r="F22" s="21">
        <f>_xlfn.MAXIFS(Tabela_vhod[Datum sprejema],Tabela_vhod[Klas. št. ],Tabela410[[#This Row],[Klas. št. ]],Tabela_vhod[Opomba],Tabela410[[#This Row],[Opomba]])</f>
        <v>0</v>
      </c>
      <c r="G22" s="21">
        <f>_xlfn.MAXIFS(Tabela_izhod[Datum izvoza],Tabela_izhod[Klas. št. ],Tabela410[[#This Row],[Klas. št. ]],Tabela_izhod[Opomba],Tabela410[[#This Row],[Opomba]])</f>
        <v>0</v>
      </c>
    </row>
    <row r="23" spans="1:7" s="2" customFormat="1" ht="30" customHeight="1" x14ac:dyDescent="0.25">
      <c r="A23" s="27" t="s">
        <v>119</v>
      </c>
      <c r="B23" s="72" t="str">
        <f>INDEX(Seznam_klasifikacij[Naziv],MATCH(Tabela410[[#This Row],[Klas. št. ]],Seznam_klasifikacij[Klasifikacija],0))</f>
        <v>Razvijalci na osnovi topil</v>
      </c>
      <c r="C23" s="73" t="s">
        <v>53</v>
      </c>
      <c r="D23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23" s="20">
        <f>COUNTIFS(Tabela_vhod[V skladišču],"DA",Tabela_vhod[Klas. št. ],Tabela410[[#This Row],[Klas. št. ]],Tabela_vhod[Opomba],Tabela410[[#This Row],[Opomba]],Tabela_vhod[Skladišno mesto],"Sklad-3")</f>
        <v>0</v>
      </c>
      <c r="F23" s="21">
        <f>_xlfn.MAXIFS(Tabela_vhod[Datum sprejema],Tabela_vhod[Klas. št. ],Tabela410[[#This Row],[Klas. št. ]],Tabela_vhod[Opomba],Tabela410[[#This Row],[Opomba]])</f>
        <v>0</v>
      </c>
      <c r="G23" s="21">
        <f>_xlfn.MAXIFS(Tabela_izhod[Datum izvoza],Tabela_izhod[Klas. št. ],Tabela410[[#This Row],[Klas. št. ]],Tabela_izhod[Opomba],Tabela410[[#This Row],[Opomba]])</f>
        <v>0</v>
      </c>
    </row>
    <row r="24" spans="1:7" s="2" customFormat="1" ht="30" customHeight="1" x14ac:dyDescent="0.25">
      <c r="A24" s="27" t="s">
        <v>121</v>
      </c>
      <c r="B24" s="72" t="str">
        <f>INDEX(Seznam_klasifikacij[Naziv],MATCH(Tabela410[[#This Row],[Klas. št. ]],Seznam_klasifikacij[Klasifikacija],0))</f>
        <v>Fiksirne raztopine</v>
      </c>
      <c r="C24" s="73" t="s">
        <v>53</v>
      </c>
      <c r="D24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24" s="20">
        <f>COUNTIFS(Tabela_vhod[V skladišču],"DA",Tabela_vhod[Klas. št. ],Tabela410[[#This Row],[Klas. št. ]],Tabela_vhod[Opomba],Tabela410[[#This Row],[Opomba]],Tabela_vhod[Skladišno mesto],"Sklad-3")</f>
        <v>0</v>
      </c>
      <c r="F24" s="21">
        <f>_xlfn.MAXIFS(Tabela_vhod[Datum sprejema],Tabela_vhod[Klas. št. ],Tabela410[[#This Row],[Klas. št. ]],Tabela_vhod[Opomba],Tabela410[[#This Row],[Opomba]])</f>
        <v>0</v>
      </c>
      <c r="G24" s="21">
        <f>_xlfn.MAXIFS(Tabela_izhod[Datum izvoza],Tabela_izhod[Klas. št. ],Tabela410[[#This Row],[Klas. št. ]],Tabela_izhod[Opomba],Tabela410[[#This Row],[Opomba]])</f>
        <v>0</v>
      </c>
    </row>
    <row r="25" spans="1:7" s="2" customFormat="1" ht="30" customHeight="1" x14ac:dyDescent="0.25">
      <c r="A25" s="27" t="s">
        <v>3</v>
      </c>
      <c r="B25" s="28" t="str">
        <f>INDEX(Seznam_klasifikacij[Naziv],MATCH(Tabela410[[#This Row],[Klas. št. ]],Seznam_klasifikacij[Klasifikacija],0))</f>
        <v xml:space="preserve">Pepel, žlindra in kotlovski prah (razen kotlovskega prahu iz 10 01 04) </v>
      </c>
      <c r="C25" s="28" t="s">
        <v>53</v>
      </c>
      <c r="D25" s="20">
        <f>SUMIFS(Tabela_vhod[Teža (kg)],Tabela_vhod[Klas. št. ],Tabela410[[#This Row],[Klas. št. ]],Tabela_vhod[Opomba],Tabela410[[#This Row],[Opomba]],Tabela_vhod[V skladišču],"DA",Tabela_vhod[Skladišno mesto],"Sklad-3")</f>
        <v>456</v>
      </c>
      <c r="E25" s="20">
        <f>COUNTIFS(Tabela_vhod[V skladišču],"DA",Tabela_vhod[Klas. št. ],Tabela410[[#This Row],[Klas. št. ]],Tabela_vhod[Opomba],Tabela410[[#This Row],[Opomba]],Tabela_vhod[Skladišno mesto],"Sklad-3")</f>
        <v>1</v>
      </c>
      <c r="F25" s="21">
        <f>_xlfn.MAXIFS(Tabela_vhod[Datum sprejema],Tabela_vhod[Klas. št. ],Tabela410[[#This Row],[Klas. št. ]],Tabela_vhod[Opomba],Tabela410[[#This Row],[Opomba]])</f>
        <v>44094</v>
      </c>
      <c r="G25" s="21">
        <f>_xlfn.MAXIFS(Tabela_izhod[Datum izvoza],Tabela_izhod[Klas. št. ],Tabela410[[#This Row],[Klas. št. ]],Tabela_izhod[Opomba],Tabela410[[#This Row],[Opomba]])</f>
        <v>44068</v>
      </c>
    </row>
    <row r="26" spans="1:7" s="2" customFormat="1" ht="30" customHeight="1" x14ac:dyDescent="0.25">
      <c r="A26" s="27" t="s">
        <v>71</v>
      </c>
      <c r="B26" s="30" t="str">
        <f>INDEX(Seznam_klasifikacij[Naziv],MATCH(Tabela410[[#This Row],[Klas. št. ]],Seznam_klasifikacij[Klasifikacija],0))</f>
        <v>Odpadki iz predelave žlindre</v>
      </c>
      <c r="C26" s="28" t="s">
        <v>53</v>
      </c>
      <c r="D26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26" s="20">
        <f>COUNTIFS(Tabela_vhod[V skladišču],"DA",Tabela_vhod[Klas. št. ],Tabela410[[#This Row],[Klas. št. ]],Tabela_vhod[Opomba],Tabela410[[#This Row],[Opomba]],Tabela_vhod[Skladišno mesto],"Sklad-3")</f>
        <v>0</v>
      </c>
      <c r="F26" s="21">
        <f>_xlfn.MAXIFS(Tabela_vhod[Datum sprejema],Tabela_vhod[Klas. št. ],Tabela410[[#This Row],[Klas. št. ]],Tabela_vhod[Opomba],Tabela410[[#This Row],[Opomba]])</f>
        <v>44047</v>
      </c>
      <c r="G26" s="21">
        <f>_xlfn.MAXIFS(Tabela_izhod[Datum izvoza],Tabela_izhod[Klas. št. ],Tabela410[[#This Row],[Klas. št. ]],Tabela_izhod[Opomba],Tabela410[[#This Row],[Opomba]])</f>
        <v>44055</v>
      </c>
    </row>
    <row r="27" spans="1:7" s="2" customFormat="1" ht="30" customHeight="1" x14ac:dyDescent="0.25">
      <c r="A27" s="27" t="s">
        <v>123</v>
      </c>
      <c r="B27" s="30" t="str">
        <f>INDEX(Seznam_klasifikacij[Naziv],MATCH(Tabela410[[#This Row],[Klas. št. ]],Seznam_klasifikacij[Klasifikacija],0))</f>
        <v>Mulji iz fosfatiranja</v>
      </c>
      <c r="C27" s="28" t="s">
        <v>53</v>
      </c>
      <c r="D27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27" s="20">
        <f>COUNTIFS(Tabela_vhod[V skladišču],"DA",Tabela_vhod[Klas. št. ],Tabela410[[#This Row],[Klas. št. ]],Tabela_vhod[Opomba],Tabela410[[#This Row],[Opomba]],Tabela_vhod[Skladišno mesto],"Sklad-3")</f>
        <v>0</v>
      </c>
      <c r="F27" s="21">
        <f>_xlfn.MAXIFS(Tabela_vhod[Datum sprejema],Tabela_vhod[Klas. št. ],Tabela410[[#This Row],[Klas. št. ]],Tabela_vhod[Opomba],Tabela410[[#This Row],[Opomba]])</f>
        <v>0</v>
      </c>
      <c r="G27" s="21">
        <f>_xlfn.MAXIFS(Tabela_izhod[Datum izvoza],Tabela_izhod[Klas. št. ],Tabela410[[#This Row],[Klas. št. ]],Tabela_izhod[Opomba],Tabela410[[#This Row],[Opomba]])</f>
        <v>0</v>
      </c>
    </row>
    <row r="28" spans="1:7" s="2" customFormat="1" ht="30" customHeight="1" x14ac:dyDescent="0.25">
      <c r="A28" s="27" t="s">
        <v>125</v>
      </c>
      <c r="B28" s="30" t="str">
        <f>INDEX(Seznam_klasifikacij[Naziv],MATCH(Tabela410[[#This Row],[Klas. št. ]],Seznam_klasifikacij[Klasifikacija],0))</f>
        <v xml:space="preserve">Mulji in filtrski kolači, ki vsebujejo nevarne snovi </v>
      </c>
      <c r="C28" s="28" t="s">
        <v>48</v>
      </c>
      <c r="D28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28" s="20">
        <f>COUNTIFS(Tabela_vhod[V skladišču],"DA",Tabela_vhod[Klas. št. ],Tabela410[[#This Row],[Klas. št. ]],Tabela_vhod[Opomba],Tabela410[[#This Row],[Opomba]],Tabela_vhod[Skladišno mesto],"Sklad-3")</f>
        <v>0</v>
      </c>
      <c r="F28" s="21">
        <f>_xlfn.MAXIFS(Tabela_vhod[Datum sprejema],Tabela_vhod[Klas. št. ],Tabela410[[#This Row],[Klas. št. ]],Tabela_vhod[Opomba],Tabela410[[#This Row],[Opomba]])</f>
        <v>44039</v>
      </c>
      <c r="G28" s="21">
        <f>_xlfn.MAXIFS(Tabela_izhod[Datum izvoza],Tabela_izhod[Klas. št. ],Tabela410[[#This Row],[Klas. št. ]],Tabela_izhod[Opomba],Tabela410[[#This Row],[Opomba]])</f>
        <v>44049</v>
      </c>
    </row>
    <row r="29" spans="1:7" s="2" customFormat="1" ht="30" customHeight="1" x14ac:dyDescent="0.25">
      <c r="A29" s="27" t="s">
        <v>125</v>
      </c>
      <c r="B29" s="28" t="str">
        <f>INDEX(Seznam_klasifikacij[Naziv],MATCH(Tabela410[[#This Row],[Klas. št. ]],Seznam_klasifikacij[Klasifikacija],0))</f>
        <v xml:space="preserve">Mulji in filtrski kolači, ki vsebujejo nevarne snovi </v>
      </c>
      <c r="C29" s="28" t="s">
        <v>53</v>
      </c>
      <c r="D29" s="20">
        <f>SUMIFS(Tabela_vhod[Teža (kg)],Tabela_vhod[Klas. št. ],Tabela410[[#This Row],[Klas. št. ]],Tabela_vhod[Opomba],Tabela410[[#This Row],[Opomba]],Tabela_vhod[V skladišču],"DA",Tabela_vhod[Skladišno mesto],"Sklad-3")</f>
        <v>822</v>
      </c>
      <c r="E29" s="20">
        <f>COUNTIFS(Tabela_vhod[V skladišču],"DA",Tabela_vhod[Klas. št. ],Tabela410[[#This Row],[Klas. št. ]],Tabela_vhod[Opomba],Tabela410[[#This Row],[Opomba]],Tabela_vhod[Skladišno mesto],"Sklad-3")</f>
        <v>1</v>
      </c>
      <c r="F29" s="21">
        <f>_xlfn.MAXIFS(Tabela_vhod[Datum sprejema],Tabela_vhod[Klas. št. ],Tabela410[[#This Row],[Klas. št. ]],Tabela_vhod[Opomba],Tabela410[[#This Row],[Opomba]])</f>
        <v>44084</v>
      </c>
      <c r="G29" s="21">
        <f>_xlfn.MAXIFS(Tabela_izhod[Datum izvoza],Tabela_izhod[Klas. št. ],Tabela410[[#This Row],[Klas. št. ]],Tabela_izhod[Opomba],Tabela410[[#This Row],[Opomba]])</f>
        <v>0</v>
      </c>
    </row>
    <row r="30" spans="1:7" s="2" customFormat="1" ht="30" customHeight="1" x14ac:dyDescent="0.25">
      <c r="A30" s="27" t="s">
        <v>127</v>
      </c>
      <c r="B30" s="30" t="str">
        <f>INDEX(Seznam_klasifikacij[Naziv],MATCH(Tabela410[[#This Row],[Klas. št. ]],Seznam_klasifikacij[Klasifikacija],0))</f>
        <v>Tekočine za izpiranje na vodni osnovi, ki vsebujejo nevarne snovi</v>
      </c>
      <c r="C30" s="28" t="s">
        <v>53</v>
      </c>
      <c r="D30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30" s="20">
        <f>COUNTIFS(Tabela_vhod[V skladišču],"DA",Tabela_vhod[Klas. št. ],Tabela410[[#This Row],[Klas. št. ]],Tabela_vhod[Opomba],Tabela410[[#This Row],[Opomba]],Tabela_vhod[Skladišno mesto],"Sklad-3")</f>
        <v>0</v>
      </c>
      <c r="F30" s="21">
        <f>_xlfn.MAXIFS(Tabela_vhod[Datum sprejema],Tabela_vhod[Klas. št. ],Tabela410[[#This Row],[Klas. št. ]],Tabela_vhod[Opomba],Tabela410[[#This Row],[Opomba]])</f>
        <v>44094</v>
      </c>
      <c r="G30" s="21">
        <f>_xlfn.MAXIFS(Tabela_izhod[Datum izvoza],Tabela_izhod[Klas. št. ],Tabela410[[#This Row],[Klas. št. ]],Tabela_izhod[Opomba],Tabela410[[#This Row],[Opomba]])</f>
        <v>44110</v>
      </c>
    </row>
    <row r="31" spans="1:7" s="2" customFormat="1" ht="30" customHeight="1" x14ac:dyDescent="0.25">
      <c r="A31" s="27" t="s">
        <v>129</v>
      </c>
      <c r="B31" s="30" t="str">
        <f>INDEX(Seznam_klasifikacij[Naziv],MATCH(Tabela410[[#This Row],[Klas. št. ]],Seznam_klasifikacij[Klasifikacija],0))</f>
        <v>Odpadki iz razmaščevanja, ki vsebujejo nevarne snovi</v>
      </c>
      <c r="C31" s="28" t="s">
        <v>53</v>
      </c>
      <c r="D31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31" s="20">
        <f>COUNTIFS(Tabela_vhod[V skladišču],"DA",Tabela_vhod[Klas. št. ],Tabela410[[#This Row],[Klas. št. ]],Tabela_vhod[Opomba],Tabela410[[#This Row],[Opomba]],Tabela_vhod[Skladišno mesto],"Sklad-3")</f>
        <v>0</v>
      </c>
      <c r="F31" s="21">
        <f>_xlfn.MAXIFS(Tabela_vhod[Datum sprejema],Tabela_vhod[Klas. št. ],Tabela410[[#This Row],[Klas. št. ]],Tabela_vhod[Opomba],Tabela410[[#This Row],[Opomba]])</f>
        <v>0</v>
      </c>
      <c r="G31" s="21">
        <f>_xlfn.MAXIFS(Tabela_izhod[Datum izvoza],Tabela_izhod[Klas. št. ],Tabela410[[#This Row],[Klas. št. ]],Tabela_izhod[Opomba],Tabela410[[#This Row],[Opomba]])</f>
        <v>0</v>
      </c>
    </row>
    <row r="32" spans="1:7" s="2" customFormat="1" ht="30" customHeight="1" x14ac:dyDescent="0.25">
      <c r="A32" s="27" t="s">
        <v>60</v>
      </c>
      <c r="B32" s="30" t="str">
        <f>INDEX(Seznam_klasifikacij[Naziv],MATCH(Tabela410[[#This Row],[Klas. št. ]],Seznam_klasifikacij[Klasifikacija],0))</f>
        <v xml:space="preserve">Prah in delci železa </v>
      </c>
      <c r="C32" s="28" t="s">
        <v>53</v>
      </c>
      <c r="D32" s="20">
        <f>SUMIFS(Tabela_vhod[Teža (kg)],Tabela_vhod[Klas. št. ],Tabela410[[#This Row],[Klas. št. ]],Tabela_vhod[Opomba],Tabela410[[#This Row],[Opomba]],Tabela_vhod[V skladišču],"DA",Tabela_vhod[Skladišno mesto],"Sklad-3")</f>
        <v>2</v>
      </c>
      <c r="E32" s="20">
        <f>COUNTIFS(Tabela_vhod[V skladišču],"DA",Tabela_vhod[Klas. št. ],Tabela410[[#This Row],[Klas. št. ]],Tabela_vhod[Opomba],Tabela410[[#This Row],[Opomba]],Tabela_vhod[Skladišno mesto],"Sklad-3")</f>
        <v>2</v>
      </c>
      <c r="F32" s="21">
        <f>_xlfn.MAXIFS(Tabela_vhod[Datum sprejema],Tabela_vhod[Klas. št. ],Tabela410[[#This Row],[Klas. št. ]],Tabela_vhod[Opomba],Tabela410[[#This Row],[Opomba]])</f>
        <v>44151</v>
      </c>
      <c r="G32" s="21">
        <f>_xlfn.MAXIFS(Tabela_izhod[Datum izvoza],Tabela_izhod[Klas. št. ],Tabela410[[#This Row],[Klas. št. ]],Tabela_izhod[Opomba],Tabela410[[#This Row],[Opomba]])</f>
        <v>44124</v>
      </c>
    </row>
    <row r="33" spans="1:7" s="2" customFormat="1" ht="30" customHeight="1" x14ac:dyDescent="0.25">
      <c r="A33" s="27" t="s">
        <v>0</v>
      </c>
      <c r="B33" s="28" t="str">
        <f>INDEX(Seznam_klasifikacij[Naziv],MATCH(Tabela410[[#This Row],[Klas. št. ]],Seznam_klasifikacij[Klasifikacija],0))</f>
        <v xml:space="preserve">Delci plastike </v>
      </c>
      <c r="C33" s="28" t="s">
        <v>41</v>
      </c>
      <c r="D33" s="20">
        <f>SUMIFS(Tabela_vhod[Teža (kg)],Tabela_vhod[Klas. št. ],Tabela410[[#This Row],[Klas. št. ]],Tabela_vhod[Opomba],Tabela410[[#This Row],[Opomba]],Tabela_vhod[V skladišču],"DA",Tabela_vhod[Skladišno mesto],"Sklad-3")</f>
        <v>3604</v>
      </c>
      <c r="E33" s="20">
        <f>COUNTIFS(Tabela_vhod[V skladišču],"DA",Tabela_vhod[Klas. št. ],Tabela410[[#This Row],[Klas. št. ]],Tabela_vhod[Opomba],Tabela410[[#This Row],[Opomba]],Tabela_vhod[Skladišno mesto],"Sklad-3")</f>
        <v>5</v>
      </c>
      <c r="F33" s="21">
        <f>_xlfn.MAXIFS(Tabela_vhod[Datum sprejema],Tabela_vhod[Klas. št. ],Tabela410[[#This Row],[Klas. št. ]],Tabela_vhod[Opomba],Tabela410[[#This Row],[Opomba]])</f>
        <v>44146</v>
      </c>
      <c r="G33" s="21">
        <f>_xlfn.MAXIFS(Tabela_izhod[Datum izvoza],Tabela_izhod[Klas. št. ],Tabela410[[#This Row],[Klas. št. ]],Tabela_izhod[Opomba],Tabela410[[#This Row],[Opomba]])</f>
        <v>44145</v>
      </c>
    </row>
    <row r="34" spans="1:7" s="2" customFormat="1" ht="30" customHeight="1" x14ac:dyDescent="0.25">
      <c r="A34" s="27" t="s">
        <v>0</v>
      </c>
      <c r="B34" s="28" t="str">
        <f>INDEX(Seznam_klasifikacij[Naziv],MATCH(Tabela410[[#This Row],[Klas. št. ]],Seznam_klasifikacij[Klasifikacija],0))</f>
        <v xml:space="preserve">Delci plastike </v>
      </c>
      <c r="C34" s="28" t="s">
        <v>53</v>
      </c>
      <c r="D34" s="20">
        <f>SUMIFS(Tabela_vhod[Teža (kg)],Tabela_vhod[Klas. št. ],Tabela410[[#This Row],[Klas. št. ]],Tabela_vhod[Opomba],Tabela410[[#This Row],[Opomba]],Tabela_vhod[V skladišču],"DA",Tabela_vhod[Skladišno mesto],"Sklad-3")</f>
        <v>294</v>
      </c>
      <c r="E34" s="20">
        <f>COUNTIFS(Tabela_vhod[V skladišču],"DA",Tabela_vhod[Klas. št. ],Tabela410[[#This Row],[Klas. št. ]],Tabela_vhod[Opomba],Tabela410[[#This Row],[Opomba]],Tabela_vhod[Skladišno mesto],"Sklad-3")</f>
        <v>1</v>
      </c>
      <c r="F34" s="21">
        <f>_xlfn.MAXIFS(Tabela_vhod[Datum sprejema],Tabela_vhod[Klas. št. ],Tabela410[[#This Row],[Klas. št. ]],Tabela_vhod[Opomba],Tabela410[[#This Row],[Opomba]])</f>
        <v>44151</v>
      </c>
      <c r="G34" s="21">
        <f>_xlfn.MAXIFS(Tabela_izhod[Datum izvoza],Tabela_izhod[Klas. št. ],Tabela410[[#This Row],[Klas. št. ]],Tabela_izhod[Opomba],Tabela410[[#This Row],[Opomba]])</f>
        <v>44145</v>
      </c>
    </row>
    <row r="35" spans="1:7" s="2" customFormat="1" ht="30" customHeight="1" x14ac:dyDescent="0.25">
      <c r="A35" s="27" t="s">
        <v>131</v>
      </c>
      <c r="B35" s="30" t="str">
        <f>INDEX(Seznam_klasifikacij[Naziv],MATCH(Tabela410[[#This Row],[Klas. št. ]],Seznam_klasifikacij[Klasifikacija],0))</f>
        <v>Mineralna strojna olja, ki ne vsebujejo halogenov (razen emulzij in raztopin)</v>
      </c>
      <c r="C35" s="28" t="s">
        <v>53</v>
      </c>
      <c r="D35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35" s="20">
        <f>COUNTIFS(Tabela_vhod[V skladišču],"DA",Tabela_vhod[Klas. št. ],Tabela410[[#This Row],[Klas. št. ]],Tabela_vhod[Opomba],Tabela410[[#This Row],[Opomba]],Tabela_vhod[Skladišno mesto],"Sklad-3")</f>
        <v>0</v>
      </c>
      <c r="F35" s="21">
        <f>_xlfn.MAXIFS(Tabela_vhod[Datum sprejema],Tabela_vhod[Klas. št. ],Tabela410[[#This Row],[Klas. št. ]],Tabela_vhod[Opomba],Tabela410[[#This Row],[Opomba]])</f>
        <v>0</v>
      </c>
      <c r="G35" s="21">
        <f>_xlfn.MAXIFS(Tabela_izhod[Datum izvoza],Tabela_izhod[Klas. št. ],Tabela410[[#This Row],[Klas. št. ]],Tabela_izhod[Opomba],Tabela410[[#This Row],[Opomba]])</f>
        <v>0</v>
      </c>
    </row>
    <row r="36" spans="1:7" s="2" customFormat="1" ht="30" customHeight="1" x14ac:dyDescent="0.25">
      <c r="A36" s="27" t="s">
        <v>18</v>
      </c>
      <c r="B36" s="28" t="str">
        <f>INDEX(Seznam_klasifikacij[Naziv],MATCH(Tabela410[[#This Row],[Klas. št. ]],Seznam_klasifikacij[Klasifikacija],0))</f>
        <v>Strojni mulji, ki niso navedeni pod 12 01 14</v>
      </c>
      <c r="C36" s="28" t="s">
        <v>53</v>
      </c>
      <c r="D36" s="20">
        <f>SUMIFS(Tabela_vhod[Teža (kg)],Tabela_vhod[Klas. št. ],Tabela410[[#This Row],[Klas. št. ]],Tabela_vhod[Opomba],Tabela410[[#This Row],[Opomba]],Tabela_vhod[V skladišču],"DA",Tabela_vhod[Skladišno mesto],"Sklad-3")</f>
        <v>114</v>
      </c>
      <c r="E36" s="20">
        <f>COUNTIFS(Tabela_vhod[V skladišču],"DA",Tabela_vhod[Klas. št. ],Tabela410[[#This Row],[Klas. št. ]],Tabela_vhod[Opomba],Tabela410[[#This Row],[Opomba]],Tabela_vhod[Skladišno mesto],"Sklad-3")</f>
        <v>1</v>
      </c>
      <c r="F36" s="21">
        <f>_xlfn.MAXIFS(Tabela_vhod[Datum sprejema],Tabela_vhod[Klas. št. ],Tabela410[[#This Row],[Klas. št. ]],Tabela_vhod[Opomba],Tabela410[[#This Row],[Opomba]])</f>
        <v>44093</v>
      </c>
      <c r="G36" s="21">
        <f>_xlfn.MAXIFS(Tabela_izhod[Datum izvoza],Tabela_izhod[Klas. št. ],Tabela410[[#This Row],[Klas. št. ]],Tabela_izhod[Opomba],Tabela410[[#This Row],[Opomba]])</f>
        <v>44110</v>
      </c>
    </row>
    <row r="37" spans="1:7" s="2" customFormat="1" ht="30" customHeight="1" x14ac:dyDescent="0.25">
      <c r="A37" s="27" t="s">
        <v>26</v>
      </c>
      <c r="B37" s="28" t="str">
        <f>INDEX(Seznam_klasifikacij[Naziv],MATCH(Tabela410[[#This Row],[Klas. št. ]],Seznam_klasifikacij[Klasifikacija],0))</f>
        <v xml:space="preserve">Odpadki, ki nastanejo pri peskanju in vsebujejo nevarne snovi </v>
      </c>
      <c r="C37" s="28" t="s">
        <v>53</v>
      </c>
      <c r="D37" s="20">
        <f>SUMIFS(Tabela_vhod[Teža (kg)],Tabela_vhod[Klas. št. ],Tabela410[[#This Row],[Klas. št. ]],Tabela_vhod[Opomba],Tabela410[[#This Row],[Opomba]],Tabela_vhod[V skladišču],"DA",Tabela_vhod[Skladišno mesto],"Sklad-3")</f>
        <v>592</v>
      </c>
      <c r="E37" s="20">
        <f>COUNTIFS(Tabela_vhod[V skladišču],"DA",Tabela_vhod[Klas. št. ],Tabela410[[#This Row],[Klas. št. ]],Tabela_vhod[Opomba],Tabela410[[#This Row],[Opomba]],Tabela_vhod[Skladišno mesto],"Sklad-3")</f>
        <v>1</v>
      </c>
      <c r="F37" s="21">
        <f>_xlfn.MAXIFS(Tabela_vhod[Datum sprejema],Tabela_vhod[Klas. št. ],Tabela410[[#This Row],[Klas. št. ]],Tabela_vhod[Opomba],Tabela410[[#This Row],[Opomba]])</f>
        <v>44136</v>
      </c>
      <c r="G37" s="21">
        <f>_xlfn.MAXIFS(Tabela_izhod[Datum izvoza],Tabela_izhod[Klas. št. ],Tabela410[[#This Row],[Klas. št. ]],Tabela_izhod[Opomba],Tabela410[[#This Row],[Opomba]])</f>
        <v>44110</v>
      </c>
    </row>
    <row r="38" spans="1:7" s="2" customFormat="1" ht="30" customHeight="1" x14ac:dyDescent="0.25">
      <c r="A38" s="27" t="s">
        <v>26</v>
      </c>
      <c r="B38" s="30" t="str">
        <f>INDEX(Seznam_klasifikacij[Naziv],MATCH(Tabela410[[#This Row],[Klas. št. ]],Seznam_klasifikacij[Klasifikacija],0))</f>
        <v xml:space="preserve">Odpadki, ki nastanejo pri peskanju in vsebujejo nevarne snovi </v>
      </c>
      <c r="C38" s="28" t="s">
        <v>47</v>
      </c>
      <c r="D38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38" s="20">
        <f>COUNTIFS(Tabela_vhod[V skladišču],"DA",Tabela_vhod[Klas. št. ],Tabela410[[#This Row],[Klas. št. ]],Tabela_vhod[Opomba],Tabela410[[#This Row],[Opomba]],Tabela_vhod[Skladišno mesto],"Sklad-3")</f>
        <v>0</v>
      </c>
      <c r="F38" s="21">
        <f>_xlfn.MAXIFS(Tabela_vhod[Datum sprejema],Tabela_vhod[Klas. št. ],Tabela410[[#This Row],[Klas. št. ]],Tabela_vhod[Opomba],Tabela410[[#This Row],[Opomba]])</f>
        <v>44039</v>
      </c>
      <c r="G38" s="21">
        <f>_xlfn.MAXIFS(Tabela_izhod[Datum izvoza],Tabela_izhod[Klas. št. ],Tabela410[[#This Row],[Klas. št. ]],Tabela_izhod[Opomba],Tabela410[[#This Row],[Opomba]])</f>
        <v>44068</v>
      </c>
    </row>
    <row r="39" spans="1:7" s="2" customFormat="1" ht="30" customHeight="1" x14ac:dyDescent="0.25">
      <c r="A39" s="27" t="s">
        <v>2</v>
      </c>
      <c r="B39" s="28" t="str">
        <f>INDEX(Seznam_klasifikacij[Naziv],MATCH(Tabela410[[#This Row],[Klas. št. ]],Seznam_klasifikacij[Klasifikacija],0))</f>
        <v xml:space="preserve">Odpadki, ki nastanejo pri peskanju in niso zajeti v 12 01 16 </v>
      </c>
      <c r="C39" s="28" t="s">
        <v>53</v>
      </c>
      <c r="D39" s="20">
        <f>SUMIFS(Tabela_vhod[Teža (kg)],Tabela_vhod[Klas. št. ],Tabela410[[#This Row],[Klas. št. ]],Tabela_vhod[Opomba],Tabela410[[#This Row],[Opomba]],Tabela_vhod[V skladišču],"DA",Tabela_vhod[Skladišno mesto],"Sklad-3")</f>
        <v>2562</v>
      </c>
      <c r="E39" s="20">
        <f>COUNTIFS(Tabela_vhod[V skladišču],"DA",Tabela_vhod[Klas. št. ],Tabela410[[#This Row],[Klas. št. ]],Tabela_vhod[Opomba],Tabela410[[#This Row],[Opomba]],Tabela_vhod[Skladišno mesto],"Sklad-3")</f>
        <v>4</v>
      </c>
      <c r="F39" s="21">
        <f>_xlfn.MAXIFS(Tabela_vhod[Datum sprejema],Tabela_vhod[Klas. št. ],Tabela410[[#This Row],[Klas. št. ]],Tabela_vhod[Opomba],Tabela410[[#This Row],[Opomba]])</f>
        <v>44136</v>
      </c>
      <c r="G39" s="21">
        <f>_xlfn.MAXIFS(Tabela_izhod[Datum izvoza],Tabela_izhod[Klas. št. ],Tabela410[[#This Row],[Klas. št. ]],Tabela_izhod[Opomba],Tabela410[[#This Row],[Opomba]])</f>
        <v>44110</v>
      </c>
    </row>
    <row r="40" spans="1:7" s="2" customFormat="1" ht="30" customHeight="1" x14ac:dyDescent="0.25">
      <c r="A40" s="27" t="s">
        <v>2</v>
      </c>
      <c r="B40" s="30" t="str">
        <f>INDEX(Seznam_klasifikacij[Naziv],MATCH(Tabela410[[#This Row],[Klas. št. ]],Seznam_klasifikacij[Klasifikacija],0))</f>
        <v xml:space="preserve">Odpadki, ki nastanejo pri peskanju in niso zajeti v 12 01 16 </v>
      </c>
      <c r="C40" s="28" t="s">
        <v>47</v>
      </c>
      <c r="D40" s="20">
        <f>SUMIFS(Tabela_vhod[Teža (kg)],Tabela_vhod[Klas. št. ],Tabela410[[#This Row],[Klas. št. ]],Tabela_vhod[Opomba],Tabela410[[#This Row],[Opomba]],Tabela_vhod[V skladišču],"DA",Tabela_vhod[Skladišno mesto],"Sklad-3")</f>
        <v>1802</v>
      </c>
      <c r="E40" s="20">
        <f>COUNTIFS(Tabela_vhod[V skladišču],"DA",Tabela_vhod[Klas. št. ],Tabela410[[#This Row],[Klas. št. ]],Tabela_vhod[Opomba],Tabela410[[#This Row],[Opomba]],Tabela_vhod[Skladišno mesto],"Sklad-3")</f>
        <v>1</v>
      </c>
      <c r="F40" s="21">
        <f>_xlfn.MAXIFS(Tabela_vhod[Datum sprejema],Tabela_vhod[Klas. št. ],Tabela410[[#This Row],[Klas. št. ]],Tabela_vhod[Opomba],Tabela410[[#This Row],[Opomba]])</f>
        <v>44076</v>
      </c>
      <c r="G40" s="21">
        <f>_xlfn.MAXIFS(Tabela_izhod[Datum izvoza],Tabela_izhod[Klas. št. ],Tabela410[[#This Row],[Klas. št. ]],Tabela_izhod[Opomba],Tabela410[[#This Row],[Opomba]])</f>
        <v>44068</v>
      </c>
    </row>
    <row r="41" spans="1:7" s="2" customFormat="1" ht="30" customHeight="1" x14ac:dyDescent="0.25">
      <c r="A41" s="27" t="s">
        <v>58</v>
      </c>
      <c r="B41" s="30" t="str">
        <f>INDEX(Seznam_klasifikacij[Naziv],MATCH(Tabela410[[#This Row],[Klas. št. ]],Seznam_klasifikacij[Klasifikacija],0))</f>
        <v>Izrabljena brusilna telesa in brusilni materiali, ki niso navedeni pod 12 01 20</v>
      </c>
      <c r="C41" s="28" t="s">
        <v>53</v>
      </c>
      <c r="D41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41" s="20">
        <f>COUNTIFS(Tabela_vhod[V skladišču],"DA",Tabela_vhod[Klas. št. ],Tabela410[[#This Row],[Klas. št. ]],Tabela_vhod[Opomba],Tabela410[[#This Row],[Opomba]],Tabela_vhod[Skladišno mesto],"Sklad-3")</f>
        <v>0</v>
      </c>
      <c r="F41" s="21">
        <f>_xlfn.MAXIFS(Tabela_vhod[Datum sprejema],Tabela_vhod[Klas. št. ],Tabela410[[#This Row],[Klas. št. ]],Tabela_vhod[Opomba],Tabela410[[#This Row],[Opomba]])</f>
        <v>44094</v>
      </c>
      <c r="G41" s="21">
        <f>_xlfn.MAXIFS(Tabela_izhod[Datum izvoza],Tabela_izhod[Klas. št. ],Tabela410[[#This Row],[Klas. št. ]],Tabela_izhod[Opomba],Tabela410[[#This Row],[Opomba]])</f>
        <v>44133</v>
      </c>
    </row>
    <row r="42" spans="1:7" s="2" customFormat="1" ht="30" customHeight="1" x14ac:dyDescent="0.25">
      <c r="A42" s="27" t="s">
        <v>133</v>
      </c>
      <c r="B42" s="30" t="str">
        <f>INDEX(Seznam_klasifikacij[Naziv],MATCH(Tabela410[[#This Row],[Klas. št. ]],Seznam_klasifikacij[Klasifikacija],0))</f>
        <v>Mineralna neklorirana motorna olja, olja prestavnih mehanizmov in mazalna olja</v>
      </c>
      <c r="C42" s="28" t="s">
        <v>53</v>
      </c>
      <c r="D42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42" s="20">
        <f>COUNTIFS(Tabela_vhod[V skladišču],"DA",Tabela_vhod[Klas. št. ],Tabela410[[#This Row],[Klas. št. ]],Tabela_vhod[Opomba],Tabela410[[#This Row],[Opomba]],Tabela_vhod[Skladišno mesto],"Sklad-3")</f>
        <v>0</v>
      </c>
      <c r="F42" s="21">
        <f>_xlfn.MAXIFS(Tabela_vhod[Datum sprejema],Tabela_vhod[Klas. št. ],Tabela410[[#This Row],[Klas. št. ]],Tabela_vhod[Opomba],Tabela410[[#This Row],[Opomba]])</f>
        <v>0</v>
      </c>
      <c r="G42" s="21">
        <f>_xlfn.MAXIFS(Tabela_izhod[Datum izvoza],Tabela_izhod[Klas. št. ],Tabela410[[#This Row],[Klas. št. ]],Tabela_izhod[Opomba],Tabela410[[#This Row],[Opomba]])</f>
        <v>0</v>
      </c>
    </row>
    <row r="43" spans="1:7" s="2" customFormat="1" ht="30" customHeight="1" x14ac:dyDescent="0.25">
      <c r="A43" s="27" t="s">
        <v>135</v>
      </c>
      <c r="B43" s="30" t="str">
        <f>INDEX(Seznam_klasifikacij[Naziv],MATCH(Tabela410[[#This Row],[Klas. št. ]],Seznam_klasifikacij[Klasifikacija],0))</f>
        <v>Mulji iz naprav za ločevanje olja in vode</v>
      </c>
      <c r="C43" s="28" t="s">
        <v>53</v>
      </c>
      <c r="D43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43" s="20">
        <f>COUNTIFS(Tabela_vhod[V skladišču],"DA",Tabela_vhod[Klas. št. ],Tabela410[[#This Row],[Klas. št. ]],Tabela_vhod[Opomba],Tabela410[[#This Row],[Opomba]],Tabela_vhod[Skladišno mesto],"Sklad-3")</f>
        <v>0</v>
      </c>
      <c r="F43" s="21">
        <f>_xlfn.MAXIFS(Tabela_vhod[Datum sprejema],Tabela_vhod[Klas. št. ],Tabela410[[#This Row],[Klas. št. ]],Tabela_vhod[Opomba],Tabela410[[#This Row],[Opomba]])</f>
        <v>0</v>
      </c>
      <c r="G43" s="21">
        <f>_xlfn.MAXIFS(Tabela_izhod[Datum izvoza],Tabela_izhod[Klas. št. ],Tabela410[[#This Row],[Klas. št. ]],Tabela_izhod[Opomba],Tabela410[[#This Row],[Opomba]])</f>
        <v>0</v>
      </c>
    </row>
    <row r="44" spans="1:7" s="2" customFormat="1" ht="30" customHeight="1" x14ac:dyDescent="0.25">
      <c r="A44" s="27" t="s">
        <v>137</v>
      </c>
      <c r="B44" s="30" t="str">
        <f>INDEX(Seznam_klasifikacij[Naziv],MATCH(Tabela410[[#This Row],[Klas. št. ]],Seznam_klasifikacij[Klasifikacija],0))</f>
        <v>Z oljem onesnažena voda iz naprav za ločevanje olja in vode</v>
      </c>
      <c r="C44" s="28" t="s">
        <v>53</v>
      </c>
      <c r="D44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44" s="20">
        <f>COUNTIFS(Tabela_vhod[V skladišču],"DA",Tabela_vhod[Klas. št. ],Tabela410[[#This Row],[Klas. št. ]],Tabela_vhod[Opomba],Tabela410[[#This Row],[Opomba]],Tabela_vhod[Skladišno mesto],"Sklad-3")</f>
        <v>0</v>
      </c>
      <c r="F44" s="21">
        <f>_xlfn.MAXIFS(Tabela_vhod[Datum sprejema],Tabela_vhod[Klas. št. ],Tabela410[[#This Row],[Klas. št. ]],Tabela_vhod[Opomba],Tabela410[[#This Row],[Opomba]])</f>
        <v>0</v>
      </c>
      <c r="G44" s="21">
        <f>_xlfn.MAXIFS(Tabela_izhod[Datum izvoza],Tabela_izhod[Klas. št. ],Tabela410[[#This Row],[Klas. št. ]],Tabela_izhod[Opomba],Tabela410[[#This Row],[Opomba]])</f>
        <v>0</v>
      </c>
    </row>
    <row r="45" spans="1:7" s="2" customFormat="1" ht="30" customHeight="1" x14ac:dyDescent="0.25">
      <c r="A45" s="27" t="s">
        <v>139</v>
      </c>
      <c r="B45" s="30" t="str">
        <f>INDEX(Seznam_klasifikacij[Naziv],MATCH(Tabela410[[#This Row],[Klas. št. ]],Seznam_klasifikacij[Klasifikacija],0))</f>
        <v>Kurilno olje in dizel</v>
      </c>
      <c r="C45" s="28" t="s">
        <v>53</v>
      </c>
      <c r="D45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45" s="20">
        <f>COUNTIFS(Tabela_vhod[V skladišču],"DA",Tabela_vhod[Klas. št. ],Tabela410[[#This Row],[Klas. št. ]],Tabela_vhod[Opomba],Tabela410[[#This Row],[Opomba]],Tabela_vhod[Skladišno mesto],"Sklad-3")</f>
        <v>0</v>
      </c>
      <c r="F45" s="21">
        <f>_xlfn.MAXIFS(Tabela_vhod[Datum sprejema],Tabela_vhod[Klas. št. ],Tabela410[[#This Row],[Klas. št. ]],Tabela_vhod[Opomba],Tabela410[[#This Row],[Opomba]])</f>
        <v>0</v>
      </c>
      <c r="G45" s="21">
        <f>_xlfn.MAXIFS(Tabela_izhod[Datum izvoza],Tabela_izhod[Klas. št. ],Tabela410[[#This Row],[Klas. št. ]],Tabela_izhod[Opomba],Tabela410[[#This Row],[Opomba]])</f>
        <v>0</v>
      </c>
    </row>
    <row r="46" spans="1:7" s="2" customFormat="1" ht="30" customHeight="1" x14ac:dyDescent="0.25">
      <c r="A46" s="27" t="s">
        <v>141</v>
      </c>
      <c r="B46" s="30" t="str">
        <f>INDEX(Seznam_klasifikacij[Naziv],MATCH(Tabela410[[#This Row],[Klas. št. ]],Seznam_klasifikacij[Klasifikacija],0))</f>
        <v>Bencin</v>
      </c>
      <c r="C46" s="28" t="s">
        <v>53</v>
      </c>
      <c r="D46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46" s="20">
        <f>COUNTIFS(Tabela_vhod[V skladišču],"DA",Tabela_vhod[Klas. št. ],Tabela410[[#This Row],[Klas. št. ]],Tabela_vhod[Opomba],Tabela410[[#This Row],[Opomba]],Tabela_vhod[Skladišno mesto],"Sklad-3")</f>
        <v>0</v>
      </c>
      <c r="F46" s="21">
        <f>_xlfn.MAXIFS(Tabela_vhod[Datum sprejema],Tabela_vhod[Klas. št. ],Tabela410[[#This Row],[Klas. št. ]],Tabela_vhod[Opomba],Tabela410[[#This Row],[Opomba]])</f>
        <v>0</v>
      </c>
      <c r="G46" s="21">
        <f>_xlfn.MAXIFS(Tabela_izhod[Datum izvoza],Tabela_izhod[Klas. št. ],Tabela410[[#This Row],[Klas. št. ]],Tabela_izhod[Opomba],Tabela410[[#This Row],[Opomba]])</f>
        <v>0</v>
      </c>
    </row>
    <row r="47" spans="1:7" s="2" customFormat="1" ht="30" customHeight="1" x14ac:dyDescent="0.25">
      <c r="A47" s="27" t="s">
        <v>143</v>
      </c>
      <c r="B47" s="30" t="str">
        <f>INDEX(Seznam_klasifikacij[Naziv],MATCH(Tabela410[[#This Row],[Klas. št. ]],Seznam_klasifikacij[Klasifikacija],0))</f>
        <v>Druga goriva, tudi mešanice</v>
      </c>
      <c r="C47" s="28" t="s">
        <v>53</v>
      </c>
      <c r="D47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47" s="20">
        <f>COUNTIFS(Tabela_vhod[V skladišču],"DA",Tabela_vhod[Klas. št. ],Tabela410[[#This Row],[Klas. št. ]],Tabela_vhod[Opomba],Tabela410[[#This Row],[Opomba]],Tabela_vhod[Skladišno mesto],"Sklad-3")</f>
        <v>0</v>
      </c>
      <c r="F47" s="21">
        <f>_xlfn.MAXIFS(Tabela_vhod[Datum sprejema],Tabela_vhod[Klas. št. ],Tabela410[[#This Row],[Klas. št. ]],Tabela_vhod[Opomba],Tabela410[[#This Row],[Opomba]])</f>
        <v>0</v>
      </c>
      <c r="G47" s="21">
        <f>_xlfn.MAXIFS(Tabela_izhod[Datum izvoza],Tabela_izhod[Klas. št. ],Tabela410[[#This Row],[Klas. št. ]],Tabela_izhod[Opomba],Tabela410[[#This Row],[Opomba]])</f>
        <v>0</v>
      </c>
    </row>
    <row r="48" spans="1:7" s="2" customFormat="1" ht="30" customHeight="1" x14ac:dyDescent="0.25">
      <c r="A48" s="27" t="s">
        <v>145</v>
      </c>
      <c r="B48" s="30" t="str">
        <f>INDEX(Seznam_klasifikacij[Naziv],MATCH(Tabela410[[#This Row],[Klas. št. ]],Seznam_klasifikacij[Klasifikacija],0))</f>
        <v>Druga topila in mešanice topil</v>
      </c>
      <c r="C48" s="28" t="s">
        <v>53</v>
      </c>
      <c r="D48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48" s="20">
        <f>COUNTIFS(Tabela_vhod[V skladišču],"DA",Tabela_vhod[Klas. št. ],Tabela410[[#This Row],[Klas. št. ]],Tabela_vhod[Opomba],Tabela410[[#This Row],[Opomba]],Tabela_vhod[Skladišno mesto],"Sklad-3")</f>
        <v>0</v>
      </c>
      <c r="F48" s="21">
        <f>_xlfn.MAXIFS(Tabela_vhod[Datum sprejema],Tabela_vhod[Klas. št. ],Tabela410[[#This Row],[Klas. št. ]],Tabela_vhod[Opomba],Tabela410[[#This Row],[Opomba]])</f>
        <v>0</v>
      </c>
      <c r="G48" s="21">
        <f>_xlfn.MAXIFS(Tabela_izhod[Datum izvoza],Tabela_izhod[Klas. št. ],Tabela410[[#This Row],[Klas. št. ]],Tabela_izhod[Opomba],Tabela410[[#This Row],[Opomba]])</f>
        <v>0</v>
      </c>
    </row>
    <row r="49" spans="1:7" s="2" customFormat="1" ht="30" customHeight="1" x14ac:dyDescent="0.25">
      <c r="A49" s="27" t="s">
        <v>21</v>
      </c>
      <c r="B49" s="28" t="str">
        <f>INDEX(Seznam_klasifikacij[Naziv],MATCH(Tabela410[[#This Row],[Klas. št. ]],Seznam_klasifikacij[Klasifikacija],0))</f>
        <v>Plastična embalaža (FOLIJA)</v>
      </c>
      <c r="C49" s="28" t="s">
        <v>53</v>
      </c>
      <c r="D49" s="20">
        <f>SUMIFS(Tabela_vhod[Teža (kg)],Tabela_vhod[Klas. št. ],Tabela410[[#This Row],[Klas. št. ]],Tabela_vhod[Opomba],Tabela410[[#This Row],[Opomba]],Tabela_vhod[V skladišču],"DA",Tabela_vhod[Skladišno mesto],"Sklad-3")</f>
        <v>336</v>
      </c>
      <c r="E49" s="20">
        <f>COUNTIFS(Tabela_vhod[V skladišču],"DA",Tabela_vhod[Klas. št. ],Tabela410[[#This Row],[Klas. št. ]],Tabela_vhod[Opomba],Tabela410[[#This Row],[Opomba]],Tabela_vhod[Skladišno mesto],"Sklad-3")</f>
        <v>10</v>
      </c>
      <c r="F49" s="21">
        <f>_xlfn.MAXIFS(Tabela_vhod[Datum sprejema],Tabela_vhod[Klas. št. ],Tabela410[[#This Row],[Klas. št. ]],Tabela_vhod[Opomba],Tabela410[[#This Row],[Opomba]])</f>
        <v>44151</v>
      </c>
      <c r="G49" s="21">
        <f>_xlfn.MAXIFS(Tabela_izhod[Datum izvoza],Tabela_izhod[Klas. št. ],Tabela410[[#This Row],[Klas. št. ]],Tabela_izhod[Opomba],Tabela410[[#This Row],[Opomba]])</f>
        <v>44134</v>
      </c>
    </row>
    <row r="50" spans="1:7" s="2" customFormat="1" ht="30" customHeight="1" x14ac:dyDescent="0.25">
      <c r="A50" s="27" t="s">
        <v>149</v>
      </c>
      <c r="B50" s="30" t="str">
        <f>INDEX(Seznam_klasifikacij[Naziv],MATCH(Tabela410[[#This Row],[Klas. št. ]],Seznam_klasifikacij[Klasifikacija],0))</f>
        <v>Zavorne tekočine</v>
      </c>
      <c r="C50" s="28" t="s">
        <v>53</v>
      </c>
      <c r="D50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50" s="20">
        <f>COUNTIFS(Tabela_vhod[V skladišču],"DA",Tabela_vhod[Klas. št. ],Tabela410[[#This Row],[Klas. št. ]],Tabela_vhod[Opomba],Tabela410[[#This Row],[Opomba]],Tabela_vhod[Skladišno mesto],"Sklad-3")</f>
        <v>0</v>
      </c>
      <c r="F50" s="21">
        <f>_xlfn.MAXIFS(Tabela_vhod[Datum sprejema],Tabela_vhod[Klas. št. ],Tabela410[[#This Row],[Klas. št. ]],Tabela_vhod[Opomba],Tabela410[[#This Row],[Opomba]])</f>
        <v>0</v>
      </c>
      <c r="G50" s="21">
        <f>_xlfn.MAXIFS(Tabela_izhod[Datum izvoza],Tabela_izhod[Klas. št. ],Tabela410[[#This Row],[Klas. št. ]],Tabela_izhod[Opomba],Tabela410[[#This Row],[Opomba]])</f>
        <v>0</v>
      </c>
    </row>
    <row r="51" spans="1:7" s="2" customFormat="1" ht="30" customHeight="1" x14ac:dyDescent="0.25">
      <c r="A51" s="27" t="s">
        <v>151</v>
      </c>
      <c r="B51" s="30" t="str">
        <f>INDEX(Seznam_klasifikacij[Naziv],MATCH(Tabela410[[#This Row],[Klas. št. ]],Seznam_klasifikacij[Klasifikacija],0))</f>
        <v>Tekočine proti zmrzovanju, ki vsebujejo nevarne snovi</v>
      </c>
      <c r="C51" s="28" t="s">
        <v>53</v>
      </c>
      <c r="D51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51" s="20">
        <f>COUNTIFS(Tabela_vhod[V skladišču],"DA",Tabela_vhod[Klas. št. ],Tabela410[[#This Row],[Klas. št. ]],Tabela_vhod[Opomba],Tabela410[[#This Row],[Opomba]],Tabela_vhod[Skladišno mesto],"Sklad-3")</f>
        <v>0</v>
      </c>
      <c r="F51" s="21">
        <f>_xlfn.MAXIFS(Tabela_vhod[Datum sprejema],Tabela_vhod[Klas. št. ],Tabela410[[#This Row],[Klas. št. ]],Tabela_vhod[Opomba],Tabela410[[#This Row],[Opomba]])</f>
        <v>0</v>
      </c>
      <c r="G51" s="21">
        <f>_xlfn.MAXIFS(Tabela_izhod[Datum izvoza],Tabela_izhod[Klas. št. ],Tabela410[[#This Row],[Klas. št. ]],Tabela_izhod[Opomba],Tabela410[[#This Row],[Opomba]])</f>
        <v>0</v>
      </c>
    </row>
    <row r="52" spans="1:7" s="2" customFormat="1" ht="30" customHeight="1" x14ac:dyDescent="0.25">
      <c r="A52" s="27" t="s">
        <v>153</v>
      </c>
      <c r="B52" s="30" t="str">
        <f>INDEX(Seznam_klasifikacij[Naziv],MATCH(Tabela410[[#This Row],[Klas. št. ]],Seznam_klasifikacij[Klasifikacija],0))</f>
        <v>Tekočine proti zmrzovanju, ki niso navedene pod 16 01 14</v>
      </c>
      <c r="C52" s="28" t="s">
        <v>53</v>
      </c>
      <c r="D52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52" s="20">
        <f>COUNTIFS(Tabela_vhod[V skladišču],"DA",Tabela_vhod[Klas. št. ],Tabela410[[#This Row],[Klas. št. ]],Tabela_vhod[Opomba],Tabela410[[#This Row],[Opomba]],Tabela_vhod[Skladišno mesto],"Sklad-3")</f>
        <v>0</v>
      </c>
      <c r="F52" s="21">
        <f>_xlfn.MAXIFS(Tabela_vhod[Datum sprejema],Tabela_vhod[Klas. št. ],Tabela410[[#This Row],[Klas. št. ]],Tabela_vhod[Opomba],Tabela410[[#This Row],[Opomba]])</f>
        <v>0</v>
      </c>
      <c r="G52" s="21">
        <f>_xlfn.MAXIFS(Tabela_izhod[Datum izvoza],Tabela_izhod[Klas. št. ],Tabela410[[#This Row],[Klas. št. ]],Tabela_izhod[Opomba],Tabela410[[#This Row],[Opomba]])</f>
        <v>0</v>
      </c>
    </row>
    <row r="53" spans="1:7" s="2" customFormat="1" ht="30" customHeight="1" x14ac:dyDescent="0.25">
      <c r="A53" s="27" t="s">
        <v>155</v>
      </c>
      <c r="B53" s="30" t="str">
        <f>INDEX(Seznam_klasifikacij[Naziv],MATCH(Tabela410[[#This Row],[Klas. št. ]],Seznam_klasifikacij[Klasifikacija],0))</f>
        <v>Plastika</v>
      </c>
      <c r="C53" s="28" t="s">
        <v>53</v>
      </c>
      <c r="D53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53" s="20">
        <f>COUNTIFS(Tabela_vhod[V skladišču],"DA",Tabela_vhod[Klas. št. ],Tabela410[[#This Row],[Klas. št. ]],Tabela_vhod[Opomba],Tabela410[[#This Row],[Opomba]],Tabela_vhod[Skladišno mesto],"Sklad-3")</f>
        <v>0</v>
      </c>
      <c r="F53" s="21">
        <f>_xlfn.MAXIFS(Tabela_vhod[Datum sprejema],Tabela_vhod[Klas. št. ],Tabela410[[#This Row],[Klas. št. ]],Tabela_vhod[Opomba],Tabela410[[#This Row],[Opomba]])</f>
        <v>0</v>
      </c>
      <c r="G53" s="21">
        <f>_xlfn.MAXIFS(Tabela_izhod[Datum izvoza],Tabela_izhod[Klas. št. ],Tabela410[[#This Row],[Klas. št. ]],Tabela_izhod[Opomba],Tabela410[[#This Row],[Opomba]])</f>
        <v>0</v>
      </c>
    </row>
    <row r="54" spans="1:7" s="2" customFormat="1" ht="30" customHeight="1" x14ac:dyDescent="0.25">
      <c r="A54" s="27" t="s">
        <v>91</v>
      </c>
      <c r="B54" s="30" t="str">
        <f>INDEX(Seznam_klasifikacij[Naziv],MATCH(Tabela410[[#This Row],[Klas. št. ]],Seznam_klasifikacij[Klasifikacija],0))</f>
        <v>Nevarne sestavine, ki niso navedene pod 16 01 07 do 16 01 11 ter 16 01 13 in 16 01 14</v>
      </c>
      <c r="C54" s="28" t="s">
        <v>53</v>
      </c>
      <c r="D54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54" s="20">
        <f>COUNTIFS(Tabela_vhod[V skladišču],"DA",Tabela_vhod[Klas. št. ],Tabela410[[#This Row],[Klas. št. ]],Tabela_vhod[Opomba],Tabela410[[#This Row],[Opomba]],Tabela_vhod[Skladišno mesto],"Sklad-3")</f>
        <v>0</v>
      </c>
      <c r="F54" s="21">
        <f>_xlfn.MAXIFS(Tabela_vhod[Datum sprejema],Tabela_vhod[Klas. št. ],Tabela410[[#This Row],[Klas. št. ]],Tabela_vhod[Opomba],Tabela410[[#This Row],[Opomba]])</f>
        <v>44039</v>
      </c>
      <c r="G54" s="21">
        <f>_xlfn.MAXIFS(Tabela_izhod[Datum izvoza],Tabela_izhod[Klas. št. ],Tabela410[[#This Row],[Klas. št. ]],Tabela_izhod[Opomba],Tabela410[[#This Row],[Opomba]])</f>
        <v>44084</v>
      </c>
    </row>
    <row r="55" spans="1:7" s="2" customFormat="1" ht="30" customHeight="1" x14ac:dyDescent="0.25">
      <c r="A55" s="27" t="s">
        <v>64</v>
      </c>
      <c r="B55" s="30" t="str">
        <f>INDEX(Seznam_klasifikacij[Naziv],MATCH(Tabela410[[#This Row],[Klas. št. ]],Seznam_klasifikacij[Klasifikacija],0))</f>
        <v>Anorganski odpadki, ki niso navedeni pod 16 03 03</v>
      </c>
      <c r="C55" s="28" t="s">
        <v>53</v>
      </c>
      <c r="D55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55" s="20">
        <f>COUNTIFS(Tabela_vhod[V skladišču],"DA",Tabela_vhod[Klas. št. ],Tabela410[[#This Row],[Klas. št. ]],Tabela_vhod[Opomba],Tabela410[[#This Row],[Opomba]],Tabela_vhod[Skladišno mesto],"Sklad-3")</f>
        <v>0</v>
      </c>
      <c r="F55" s="21">
        <f>_xlfn.MAXIFS(Tabela_vhod[Datum sprejema],Tabela_vhod[Klas. št. ],Tabela410[[#This Row],[Klas. št. ]],Tabela_vhod[Opomba],Tabela410[[#This Row],[Opomba]])</f>
        <v>44041</v>
      </c>
      <c r="G55" s="21">
        <f>_xlfn.MAXIFS(Tabela_izhod[Datum izvoza],Tabela_izhod[Klas. št. ],Tabela410[[#This Row],[Klas. št. ]],Tabela_izhod[Opomba],Tabela410[[#This Row],[Opomba]])</f>
        <v>44063</v>
      </c>
    </row>
    <row r="56" spans="1:7" s="2" customFormat="1" ht="30" customHeight="1" x14ac:dyDescent="0.25">
      <c r="A56" s="27" t="s">
        <v>157</v>
      </c>
      <c r="B56" s="30" t="str">
        <f>INDEX(Seznam_klasifikacij[Naziv],MATCH(Tabela410[[#This Row],[Klas. št. ]],Seznam_klasifikacij[Klasifikacija],0))</f>
        <v>Laboratorijske kemikalije, ki so sestavljene iz nevarne snovi ali jih vsebujejo, vključno z mešanicami laboratorijskih kemikalij</v>
      </c>
      <c r="C56" s="28" t="s">
        <v>53</v>
      </c>
      <c r="D56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56" s="20">
        <f>COUNTIFS(Tabela_vhod[V skladišču],"DA",Tabela_vhod[Klas. št. ],Tabela410[[#This Row],[Klas. št. ]],Tabela_vhod[Opomba],Tabela410[[#This Row],[Opomba]],Tabela_vhod[Skladišno mesto],"Sklad-3")</f>
        <v>0</v>
      </c>
      <c r="F56" s="21">
        <f>_xlfn.MAXIFS(Tabela_vhod[Datum sprejema],Tabela_vhod[Klas. št. ],Tabela410[[#This Row],[Klas. št. ]],Tabela_vhod[Opomba],Tabela410[[#This Row],[Opomba]])</f>
        <v>44114</v>
      </c>
      <c r="G56" s="21">
        <f>_xlfn.MAXIFS(Tabela_izhod[Datum izvoza],Tabela_izhod[Klas. št. ],Tabela410[[#This Row],[Klas. št. ]],Tabela_izhod[Opomba],Tabela410[[#This Row],[Opomba]])</f>
        <v>0</v>
      </c>
    </row>
    <row r="57" spans="1:7" s="2" customFormat="1" ht="30" customHeight="1" x14ac:dyDescent="0.25">
      <c r="A57" s="27" t="s">
        <v>159</v>
      </c>
      <c r="B57" s="30" t="str">
        <f>INDEX(Seznam_klasifikacij[Naziv],MATCH(Tabela410[[#This Row],[Klas. št. ]],Seznam_klasifikacij[Klasifikacija],0))</f>
        <v>Zavržene organske kemikalije, ki so sestavljene iz ali vsebujejo nevarne snovi</v>
      </c>
      <c r="C57" s="28" t="s">
        <v>53</v>
      </c>
      <c r="D57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57" s="20">
        <f>COUNTIFS(Tabela_vhod[V skladišču],"DA",Tabela_vhod[Klas. št. ],Tabela410[[#This Row],[Klas. št. ]],Tabela_vhod[Opomba],Tabela410[[#This Row],[Opomba]],Tabela_vhod[Skladišno mesto],"Sklad-3")</f>
        <v>0</v>
      </c>
      <c r="F57" s="21">
        <f>_xlfn.MAXIFS(Tabela_vhod[Datum sprejema],Tabela_vhod[Klas. št. ],Tabela410[[#This Row],[Klas. št. ]],Tabela_vhod[Opomba],Tabela410[[#This Row],[Opomba]])</f>
        <v>0</v>
      </c>
      <c r="G57" s="21">
        <f>_xlfn.MAXIFS(Tabela_izhod[Datum izvoza],Tabela_izhod[Klas. št. ],Tabela410[[#This Row],[Klas. št. ]],Tabela_izhod[Opomba],Tabela410[[#This Row],[Opomba]])</f>
        <v>0</v>
      </c>
    </row>
    <row r="58" spans="1:7" s="2" customFormat="1" ht="30" customHeight="1" x14ac:dyDescent="0.25">
      <c r="A58" s="27" t="s">
        <v>29</v>
      </c>
      <c r="B58" s="28" t="str">
        <f>INDEX(Seznam_klasifikacij[Naziv],MATCH(Tabela410[[#This Row],[Klas. št. ]],Seznam_klasifikacij[Klasifikacija],0))</f>
        <v>Nikelj-kadmijeve baterije</v>
      </c>
      <c r="C58" s="28" t="s">
        <v>53</v>
      </c>
      <c r="D58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58" s="20">
        <f>COUNTIFS(Tabela_vhod[V skladišču],"DA",Tabela_vhod[Klas. št. ],Tabela410[[#This Row],[Klas. št. ]],Tabela_vhod[Opomba],Tabela410[[#This Row],[Opomba]],Tabela_vhod[Skladišno mesto],"Sklad-3")</f>
        <v>0</v>
      </c>
      <c r="F58" s="21">
        <f>_xlfn.MAXIFS(Tabela_vhod[Datum sprejema],Tabela_vhod[Klas. št. ],Tabela410[[#This Row],[Klas. št. ]],Tabela_vhod[Opomba],Tabela410[[#This Row],[Opomba]])</f>
        <v>44114</v>
      </c>
      <c r="G58" s="21">
        <f>_xlfn.MAXIFS(Tabela_izhod[Datum izvoza],Tabela_izhod[Klas. št. ],Tabela410[[#This Row],[Klas. št. ]],Tabela_izhod[Opomba],Tabela410[[#This Row],[Opomba]])</f>
        <v>44145</v>
      </c>
    </row>
    <row r="59" spans="1:7" s="2" customFormat="1" ht="30" customHeight="1" x14ac:dyDescent="0.25">
      <c r="A59" s="27" t="s">
        <v>161</v>
      </c>
      <c r="B59" s="30" t="str">
        <f>INDEX(Seznam_klasifikacij[Naziv],MATCH(Tabela410[[#This Row],[Klas. št. ]],Seznam_klasifikacij[Klasifikacija],0))</f>
        <v>Ločeno zbrani elektroliti iz baterij in akumulatorjev</v>
      </c>
      <c r="C59" s="28" t="s">
        <v>53</v>
      </c>
      <c r="D59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59" s="20">
        <f>COUNTIFS(Tabela_vhod[V skladišču],"DA",Tabela_vhod[Klas. št. ],Tabela410[[#This Row],[Klas. št. ]],Tabela_vhod[Opomba],Tabela410[[#This Row],[Opomba]],Tabela_vhod[Skladišno mesto],"Sklad-3")</f>
        <v>0</v>
      </c>
      <c r="F59" s="21">
        <f>_xlfn.MAXIFS(Tabela_vhod[Datum sprejema],Tabela_vhod[Klas. št. ],Tabela410[[#This Row],[Klas. št. ]],Tabela_vhod[Opomba],Tabela410[[#This Row],[Opomba]])</f>
        <v>0</v>
      </c>
      <c r="G59" s="21">
        <f>_xlfn.MAXIFS(Tabela_izhod[Datum izvoza],Tabela_izhod[Klas. št. ],Tabela410[[#This Row],[Klas. št. ]],Tabela_izhod[Opomba],Tabela410[[#This Row],[Opomba]])</f>
        <v>0</v>
      </c>
    </row>
    <row r="60" spans="1:7" s="2" customFormat="1" ht="30" customHeight="1" x14ac:dyDescent="0.25">
      <c r="A60" s="27" t="s">
        <v>163</v>
      </c>
      <c r="B60" s="30" t="str">
        <f>INDEX(Seznam_klasifikacij[Naziv],MATCH(Tabela410[[#This Row],[Klas. št. ]],Seznam_klasifikacij[Klasifikacija],0))</f>
        <v>Odpadne vodne raztopine, ki vsebujejo nevarne snovi</v>
      </c>
      <c r="C60" s="28" t="s">
        <v>53</v>
      </c>
      <c r="D60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60" s="20">
        <f>COUNTIFS(Tabela_vhod[V skladišču],"DA",Tabela_vhod[Klas. št. ],Tabela410[[#This Row],[Klas. št. ]],Tabela_vhod[Opomba],Tabela410[[#This Row],[Opomba]],Tabela_vhod[Skladišno mesto],"Sklad-3")</f>
        <v>0</v>
      </c>
      <c r="F60" s="21">
        <f>_xlfn.MAXIFS(Tabela_vhod[Datum sprejema],Tabela_vhod[Klas. št. ],Tabela410[[#This Row],[Klas. št. ]],Tabela_vhod[Opomba],Tabela410[[#This Row],[Opomba]])</f>
        <v>44114</v>
      </c>
      <c r="G60" s="21">
        <f>_xlfn.MAXIFS(Tabela_izhod[Datum izvoza],Tabela_izhod[Klas. št. ],Tabela410[[#This Row],[Klas. št. ]],Tabela_izhod[Opomba],Tabela410[[#This Row],[Opomba]])</f>
        <v>0</v>
      </c>
    </row>
    <row r="61" spans="1:7" s="2" customFormat="1" ht="30" customHeight="1" x14ac:dyDescent="0.25">
      <c r="A61" s="27" t="s">
        <v>13</v>
      </c>
      <c r="B61" s="30" t="str">
        <f>INDEX(Seznam_klasifikacij[Naziv],MATCH(Tabela410[[#This Row],[Klas. št. ]],Seznam_klasifikacij[Klasifikacija],0))</f>
        <v>Mulji, ki nastanejo pri fizikalno-kemijski obdelavi in vsebujejo nevarne snovi</v>
      </c>
      <c r="C61" s="28" t="s">
        <v>53</v>
      </c>
      <c r="D61" s="20">
        <f>SUMIFS(Tabela_vhod[Teža (kg)],Tabela_vhod[Klas. št. ],Tabela410[[#This Row],[Klas. št. ]],Tabela_vhod[Opomba],Tabela410[[#This Row],[Opomba]],Tabela_vhod[V skladišču],"DA",Tabela_vhod[Skladišno mesto],"Sklad-3")</f>
        <v>130</v>
      </c>
      <c r="E61" s="20">
        <f>COUNTIFS(Tabela_vhod[V skladišču],"DA",Tabela_vhod[Klas. št. ],Tabela410[[#This Row],[Klas. št. ]],Tabela_vhod[Opomba],Tabela410[[#This Row],[Opomba]],Tabela_vhod[Skladišno mesto],"Sklad-3")</f>
        <v>1</v>
      </c>
      <c r="F61" s="21">
        <f>_xlfn.MAXIFS(Tabela_vhod[Datum sprejema],Tabela_vhod[Klas. št. ],Tabela410[[#This Row],[Klas. št. ]],Tabela_vhod[Opomba],Tabela410[[#This Row],[Opomba]])</f>
        <v>44123</v>
      </c>
      <c r="G61" s="21">
        <f>_xlfn.MAXIFS(Tabela_izhod[Datum izvoza],Tabela_izhod[Klas. št. ],Tabela410[[#This Row],[Klas. št. ]],Tabela_izhod[Opomba],Tabela410[[#This Row],[Opomba]])</f>
        <v>44131</v>
      </c>
    </row>
    <row r="62" spans="1:7" s="2" customFormat="1" ht="30" customHeight="1" x14ac:dyDescent="0.25">
      <c r="A62" s="27" t="s">
        <v>185</v>
      </c>
      <c r="B62" s="28" t="str">
        <f>INDEX(Seznam_klasifikacij[Naziv],MATCH(Tabela410[[#This Row],[Klas. št. ]],Seznam_klasifikacij[Klasifikacija],0))</f>
        <v>Tekoči gorljivi odpadki, ki vsebujejo nevarne snovi</v>
      </c>
      <c r="C62" s="28" t="s">
        <v>53</v>
      </c>
      <c r="D62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62" s="20">
        <f>COUNTIFS(Tabela_vhod[V skladišču],"DA",Tabela_vhod[Klas. št. ],Tabela410[[#This Row],[Klas. št. ]],Tabela_vhod[Opomba],Tabela410[[#This Row],[Opomba]],Tabela_vhod[Skladišno mesto],"Sklad-3")</f>
        <v>0</v>
      </c>
      <c r="F62" s="21">
        <f>_xlfn.MAXIFS(Tabela_vhod[Datum sprejema],Tabela_vhod[Klas. št. ],Tabela410[[#This Row],[Klas. št. ]],Tabela_vhod[Opomba],Tabela410[[#This Row],[Opomba]])</f>
        <v>0</v>
      </c>
      <c r="G62" s="21">
        <f>_xlfn.MAXIFS(Tabela_izhod[Datum izvoza],Tabela_izhod[Klas. št. ],Tabela410[[#This Row],[Klas. št. ]],Tabela_izhod[Opomba],Tabela410[[#This Row],[Opomba]])</f>
        <v>0</v>
      </c>
    </row>
    <row r="63" spans="1:7" s="2" customFormat="1" ht="30" customHeight="1" x14ac:dyDescent="0.25">
      <c r="A63" s="27" t="s">
        <v>166</v>
      </c>
      <c r="B63" s="30" t="str">
        <f>INDEX(Seznam_klasifikacij[Naziv],MATCH(Tabela410[[#This Row],[Klas. št. ]],Seznam_klasifikacij[Klasifikacija],0))</f>
        <v>Utrjeni (soldificirani) odpadki, označeni kot nevarni</v>
      </c>
      <c r="C63" s="28" t="s">
        <v>53</v>
      </c>
      <c r="D63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63" s="20">
        <f>COUNTIFS(Tabela_vhod[V skladišču],"DA",Tabela_vhod[Klas. št. ],Tabela410[[#This Row],[Klas. št. ]],Tabela_vhod[Opomba],Tabela410[[#This Row],[Opomba]],Tabela_vhod[Skladišno mesto],"Sklad-3")</f>
        <v>0</v>
      </c>
      <c r="F63" s="21">
        <f>_xlfn.MAXIFS(Tabela_vhod[Datum sprejema],Tabela_vhod[Klas. št. ],Tabela410[[#This Row],[Klas. št. ]],Tabela_vhod[Opomba],Tabela410[[#This Row],[Opomba]])</f>
        <v>0</v>
      </c>
      <c r="G63" s="21">
        <f>_xlfn.MAXIFS(Tabela_izhod[Datum izvoza],Tabela_izhod[Klas. št. ],Tabela410[[#This Row],[Klas. št. ]],Tabela_izhod[Opomba],Tabela410[[#This Row],[Opomba]])</f>
        <v>0</v>
      </c>
    </row>
    <row r="64" spans="1:7" s="2" customFormat="1" ht="30" customHeight="1" x14ac:dyDescent="0.25">
      <c r="A64" s="27" t="s">
        <v>168</v>
      </c>
      <c r="B64" s="30" t="str">
        <f>INDEX(Seznam_klasifikacij[Naziv],MATCH(Tabela410[[#This Row],[Klas. št. ]],Seznam_klasifikacij[Klasifikacija],0))</f>
        <v>Odpadki iz peskolovov</v>
      </c>
      <c r="C64" s="28" t="s">
        <v>53</v>
      </c>
      <c r="D64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64" s="20">
        <f>COUNTIFS(Tabela_vhod[V skladišču],"DA",Tabela_vhod[Klas. št. ],Tabela410[[#This Row],[Klas. št. ]],Tabela_vhod[Opomba],Tabela410[[#This Row],[Opomba]],Tabela_vhod[Skladišno mesto],"Sklad-3")</f>
        <v>0</v>
      </c>
      <c r="F64" s="21">
        <f>_xlfn.MAXIFS(Tabela_vhod[Datum sprejema],Tabela_vhod[Klas. št. ],Tabela410[[#This Row],[Klas. št. ]],Tabela_vhod[Opomba],Tabela410[[#This Row],[Opomba]])</f>
        <v>44062</v>
      </c>
      <c r="G64" s="21">
        <f>_xlfn.MAXIFS(Tabela_izhod[Datum izvoza],Tabela_izhod[Klas. št. ],Tabela410[[#This Row],[Klas. št. ]],Tabela_izhod[Opomba],Tabela410[[#This Row],[Opomba]])</f>
        <v>44110</v>
      </c>
    </row>
    <row r="65" spans="1:7" s="2" customFormat="1" ht="30" customHeight="1" x14ac:dyDescent="0.25">
      <c r="A65" s="27" t="s">
        <v>171</v>
      </c>
      <c r="B65" s="30" t="str">
        <f>INDEX(Seznam_klasifikacij[Naziv],MATCH(Tabela410[[#This Row],[Klas. št. ]],Seznam_klasifikacij[Klasifikacija],0))</f>
        <v>Raztopine in mulji iz regeneracije ionskih izmenjevalnikov</v>
      </c>
      <c r="C65" s="28" t="s">
        <v>53</v>
      </c>
      <c r="D65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65" s="20">
        <f>COUNTIFS(Tabela_vhod[V skladišču],"DA",Tabela_vhod[Klas. št. ],Tabela410[[#This Row],[Klas. št. ]],Tabela_vhod[Opomba],Tabela410[[#This Row],[Opomba]],Tabela_vhod[Skladišno mesto],"Sklad-3")</f>
        <v>0</v>
      </c>
      <c r="F65" s="21">
        <f>_xlfn.MAXIFS(Tabela_vhod[Datum sprejema],Tabela_vhod[Klas. št. ],Tabela410[[#This Row],[Klas. št. ]],Tabela_vhod[Opomba],Tabela410[[#This Row],[Opomba]])</f>
        <v>0</v>
      </c>
      <c r="G65" s="21">
        <f>_xlfn.MAXIFS(Tabela_izhod[Datum izvoza],Tabela_izhod[Klas. št. ],Tabela410[[#This Row],[Klas. št. ]],Tabela_izhod[Opomba],Tabela410[[#This Row],[Opomba]])</f>
        <v>0</v>
      </c>
    </row>
    <row r="66" spans="1:7" s="2" customFormat="1" ht="30" customHeight="1" x14ac:dyDescent="0.25">
      <c r="A66" s="27" t="s">
        <v>173</v>
      </c>
      <c r="B66" s="30" t="str">
        <f>INDEX(Seznam_klasifikacij[Naziv],MATCH(Tabela410[[#This Row],[Klas. št. ]],Seznam_klasifikacij[Klasifikacija],0))</f>
        <v>Masti in oljne mešanice iz naprav za ločevanje olja in vode, ki vsebujejo le jedilna olja in masti</v>
      </c>
      <c r="C66" s="28" t="s">
        <v>53</v>
      </c>
      <c r="D66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66" s="20">
        <f>COUNTIFS(Tabela_vhod[V skladišču],"DA",Tabela_vhod[Klas. št. ],Tabela410[[#This Row],[Klas. št. ]],Tabela_vhod[Opomba],Tabela410[[#This Row],[Opomba]],Tabela_vhod[Skladišno mesto],"Sklad-3")</f>
        <v>0</v>
      </c>
      <c r="F66" s="21">
        <f>_xlfn.MAXIFS(Tabela_vhod[Datum sprejema],Tabela_vhod[Klas. št. ],Tabela410[[#This Row],[Klas. št. ]],Tabela_vhod[Opomba],Tabela410[[#This Row],[Opomba]])</f>
        <v>0</v>
      </c>
      <c r="G66" s="21">
        <f>_xlfn.MAXIFS(Tabela_izhod[Datum izvoza],Tabela_izhod[Klas. št. ],Tabela410[[#This Row],[Klas. št. ]],Tabela_izhod[Opomba],Tabela410[[#This Row],[Opomba]])</f>
        <v>0</v>
      </c>
    </row>
    <row r="67" spans="1:7" s="2" customFormat="1" ht="30" customHeight="1" x14ac:dyDescent="0.25">
      <c r="A67" s="27" t="s">
        <v>175</v>
      </c>
      <c r="B67" s="30" t="str">
        <f>INDEX(Seznam_klasifikacij[Naziv],MATCH(Tabela410[[#This Row],[Klas. št. ]],Seznam_klasifikacij[Klasifikacija],0))</f>
        <v>Mulji iz drugih čistilnih naprav tehnoloških odpadnih voda, ki vsebujejo nevarne snovi</v>
      </c>
      <c r="C67" s="28" t="s">
        <v>53</v>
      </c>
      <c r="D67" s="20">
        <f>SUMIFS(Tabela_vhod[Teža (kg)],Tabela_vhod[Klas. št. ],Tabela410[[#This Row],[Klas. št. ]],Tabela_vhod[Opomba],Tabela410[[#This Row],[Opomba]],Tabela_vhod[V skladišču],"DA",Tabela_vhod[Skladišno mesto],"Sklad-3")</f>
        <v>800</v>
      </c>
      <c r="E67" s="20">
        <f>COUNTIFS(Tabela_vhod[V skladišču],"DA",Tabela_vhod[Klas. št. ],Tabela410[[#This Row],[Klas. št. ]],Tabela_vhod[Opomba],Tabela410[[#This Row],[Opomba]],Tabela_vhod[Skladišno mesto],"Sklad-3")</f>
        <v>1</v>
      </c>
      <c r="F67" s="21">
        <f>_xlfn.MAXIFS(Tabela_vhod[Datum sprejema],Tabela_vhod[Klas. št. ],Tabela410[[#This Row],[Klas. št. ]],Tabela_vhod[Opomba],Tabela410[[#This Row],[Opomba]])</f>
        <v>44147</v>
      </c>
      <c r="G67" s="21">
        <f>_xlfn.MAXIFS(Tabela_izhod[Datum izvoza],Tabela_izhod[Klas. št. ],Tabela410[[#This Row],[Klas. št. ]],Tabela_izhod[Opomba],Tabela410[[#This Row],[Opomba]])</f>
        <v>0</v>
      </c>
    </row>
    <row r="68" spans="1:7" s="2" customFormat="1" ht="30" customHeight="1" x14ac:dyDescent="0.25">
      <c r="A68" s="27" t="s">
        <v>14</v>
      </c>
      <c r="B68" s="28" t="str">
        <f>INDEX(Seznam_klasifikacij[Naziv],MATCH(Tabela410[[#This Row],[Klas. št. ]],Seznam_klasifikacij[Klasifikacija],0))</f>
        <v xml:space="preserve">Mulji iz drugih čistilnih naprav tehnoloških odpadnih vod, ki niso zajeti v 10 08 13 </v>
      </c>
      <c r="C68" s="28" t="s">
        <v>53</v>
      </c>
      <c r="D68" s="20">
        <f>SUMIFS(Tabela_vhod[Teža (kg)],Tabela_vhod[Klas. št. ],Tabela410[[#This Row],[Klas. št. ]],Tabela_vhod[Opomba],Tabela410[[#This Row],[Opomba]],Tabela_vhod[V skladišču],"DA",Tabela_vhod[Skladišno mesto],"Sklad-3")</f>
        <v>839</v>
      </c>
      <c r="E68" s="20">
        <f>COUNTIFS(Tabela_vhod[V skladišču],"DA",Tabela_vhod[Klas. št. ],Tabela410[[#This Row],[Klas. št. ]],Tabela_vhod[Opomba],Tabela410[[#This Row],[Opomba]],Tabela_vhod[Skladišno mesto],"Sklad-3")</f>
        <v>1</v>
      </c>
      <c r="F68" s="21">
        <f>_xlfn.MAXIFS(Tabela_vhod[Datum sprejema],Tabela_vhod[Klas. št. ],Tabela410[[#This Row],[Klas. št. ]],Tabela_vhod[Opomba],Tabela410[[#This Row],[Opomba]])</f>
        <v>44133</v>
      </c>
      <c r="G68" s="21">
        <f>_xlfn.MAXIFS(Tabela_izhod[Datum izvoza],Tabela_izhod[Klas. št. ],Tabela410[[#This Row],[Klas. št. ]],Tabela_izhod[Opomba],Tabela410[[#This Row],[Opomba]])</f>
        <v>44110</v>
      </c>
    </row>
    <row r="69" spans="1:7" s="2" customFormat="1" ht="30" customHeight="1" x14ac:dyDescent="0.25">
      <c r="A69" s="27" t="s">
        <v>184</v>
      </c>
      <c r="B69" s="30" t="str">
        <f>INDEX(Seznam_klasifikacij[Naziv],MATCH(Tabela410[[#This Row],[Klas. št. ]],Seznam_klasifikacij[Klasifikacija],0))</f>
        <v>Nasičene ali izrabljene smole ionskih izmenjevalnikov</v>
      </c>
      <c r="C69" s="28" t="s">
        <v>53</v>
      </c>
      <c r="D69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69" s="20">
        <f>COUNTIFS(Tabela_vhod[V skladišču],"DA",Tabela_vhod[Klas. št. ],Tabela410[[#This Row],[Klas. št. ]],Tabela_vhod[Opomba],Tabela410[[#This Row],[Opomba]],Tabela_vhod[Skladišno mesto],"Sklad-3")</f>
        <v>0</v>
      </c>
      <c r="F69" s="21">
        <f>_xlfn.MAXIFS(Tabela_vhod[Datum sprejema],Tabela_vhod[Klas. št. ],Tabela410[[#This Row],[Klas. št. ]],Tabela_vhod[Opomba],Tabela410[[#This Row],[Opomba]])</f>
        <v>0</v>
      </c>
      <c r="G69" s="21">
        <f>_xlfn.MAXIFS(Tabela_izhod[Datum izvoza],Tabela_izhod[Klas. št. ],Tabela410[[#This Row],[Klas. št. ]],Tabela_izhod[Opomba],Tabela410[[#This Row],[Opomba]])</f>
        <v>0</v>
      </c>
    </row>
    <row r="70" spans="1:7" s="2" customFormat="1" ht="30" customHeight="1" x14ac:dyDescent="0.25">
      <c r="A70" s="27" t="s">
        <v>177</v>
      </c>
      <c r="B70" s="30" t="str">
        <f>INDEX(Seznam_klasifikacij[Naziv],MATCH(Tabela410[[#This Row],[Klas. št. ]],Seznam_klasifikacij[Klasifikacija],0))</f>
        <v>Železne kovine</v>
      </c>
      <c r="C70" s="28" t="s">
        <v>53</v>
      </c>
      <c r="D70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70" s="20">
        <f>COUNTIFS(Tabela_vhod[V skladišču],"DA",Tabela_vhod[Klas. št. ],Tabela410[[#This Row],[Klas. št. ]],Tabela_vhod[Opomba],Tabela410[[#This Row],[Opomba]],Tabela_vhod[Skladišno mesto],"Sklad-3")</f>
        <v>0</v>
      </c>
      <c r="F70" s="21">
        <f>_xlfn.MAXIFS(Tabela_vhod[Datum sprejema],Tabela_vhod[Klas. št. ],Tabela410[[#This Row],[Klas. št. ]],Tabela_vhod[Opomba],Tabela410[[#This Row],[Opomba]])</f>
        <v>0</v>
      </c>
      <c r="G70" s="21">
        <f>_xlfn.MAXIFS(Tabela_izhod[Datum izvoza],Tabela_izhod[Klas. št. ],Tabela410[[#This Row],[Klas. št. ]],Tabela_izhod[Opomba],Tabela410[[#This Row],[Opomba]])</f>
        <v>0</v>
      </c>
    </row>
    <row r="71" spans="1:7" s="2" customFormat="1" ht="30" customHeight="1" x14ac:dyDescent="0.25">
      <c r="A71" s="27" t="s">
        <v>1</v>
      </c>
      <c r="B71" s="28" t="str">
        <f>INDEX(Seznam_klasifikacij[Naziv],MATCH(Tabela410[[#This Row],[Klas. št. ]],Seznam_klasifikacij[Klasifikacija],0))</f>
        <v>Plastika in gume</v>
      </c>
      <c r="C71" s="28" t="s">
        <v>53</v>
      </c>
      <c r="D71" s="20">
        <f>SUMIFS(Tabela_vhod[Teža (kg)],Tabela_vhod[Klas. št. ],Tabela410[[#This Row],[Klas. št. ]],Tabela_vhod[Opomba],Tabela410[[#This Row],[Opomba]],Tabela_vhod[V skladišču],"DA",Tabela_vhod[Skladišno mesto],"Sklad-3")</f>
        <v>2542</v>
      </c>
      <c r="E71" s="20">
        <f>COUNTIFS(Tabela_vhod[V skladišču],"DA",Tabela_vhod[Klas. št. ],Tabela410[[#This Row],[Klas. št. ]],Tabela_vhod[Opomba],Tabela410[[#This Row],[Opomba]],Tabela_vhod[Skladišno mesto],"Sklad-3")</f>
        <v>11</v>
      </c>
      <c r="F71" s="21">
        <f>_xlfn.MAXIFS(Tabela_vhod[Datum sprejema],Tabela_vhod[Klas. št. ],Tabela410[[#This Row],[Klas. št. ]],Tabela_vhod[Opomba],Tabela410[[#This Row],[Opomba]])</f>
        <v>44146</v>
      </c>
      <c r="G71" s="21">
        <f>_xlfn.MAXIFS(Tabela_izhod[Datum izvoza],Tabela_izhod[Klas. št. ],Tabela410[[#This Row],[Klas. št. ]],Tabela_izhod[Opomba],Tabela410[[#This Row],[Opomba]])</f>
        <v>44145</v>
      </c>
    </row>
    <row r="72" spans="1:7" s="2" customFormat="1" ht="30" customHeight="1" x14ac:dyDescent="0.25">
      <c r="A72" s="27" t="s">
        <v>1</v>
      </c>
      <c r="B72" s="28" t="str">
        <f>INDEX(Seznam_klasifikacij[Naziv],MATCH(Tabela410[[#This Row],[Klas. št. ]],Seznam_klasifikacij[Klasifikacija],0))</f>
        <v>Plastika in gume</v>
      </c>
      <c r="C72" s="28" t="s">
        <v>42</v>
      </c>
      <c r="D72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72" s="20">
        <f>COUNTIFS(Tabela_vhod[V skladišču],"DA",Tabela_vhod[Klas. št. ],Tabela410[[#This Row],[Klas. št. ]],Tabela_vhod[Opomba],Tabela410[[#This Row],[Opomba]],Tabela_vhod[Skladišno mesto],"Sklad-3")</f>
        <v>0</v>
      </c>
      <c r="F72" s="21">
        <f>_xlfn.MAXIFS(Tabela_vhod[Datum sprejema],Tabela_vhod[Klas. št. ],Tabela410[[#This Row],[Klas. št. ]],Tabela_vhod[Opomba],Tabela410[[#This Row],[Opomba]])</f>
        <v>0</v>
      </c>
      <c r="G72" s="21">
        <f>_xlfn.MAXIFS(Tabela_izhod[Datum izvoza],Tabela_izhod[Klas. št. ],Tabela410[[#This Row],[Klas. št. ]],Tabela_izhod[Opomba],Tabela410[[#This Row],[Opomba]])</f>
        <v>0</v>
      </c>
    </row>
    <row r="73" spans="1:7" s="2" customFormat="1" ht="30" customHeight="1" x14ac:dyDescent="0.25">
      <c r="A73" s="27" t="s">
        <v>179</v>
      </c>
      <c r="B73" s="30" t="str">
        <f>INDEX(Seznam_klasifikacij[Naziv],MATCH(Tabela410[[#This Row],[Klas. št. ]],Seznam_klasifikacij[Klasifikacija],0))</f>
        <v>Drugi odpadki (tudi mešanice materialov) iz mehanske obdelave odpadkov, ki vsebujejo nevarne snovi</v>
      </c>
      <c r="C73" s="28" t="s">
        <v>53</v>
      </c>
      <c r="D73" s="20">
        <f>SUMIFS(Tabela_vhod[Teža (kg)],Tabela_vhod[Klas. št. ],Tabela410[[#This Row],[Klas. št. ]],Tabela_vhod[Opomba],Tabela410[[#This Row],[Opomba]],Tabela_vhod[V skladišču],"DA",Tabela_vhod[Skladišno mesto],"Sklad-3")</f>
        <v>0</v>
      </c>
      <c r="E73" s="20">
        <f>COUNTIFS(Tabela_vhod[V skladišču],"DA",Tabela_vhod[Klas. št. ],Tabela410[[#This Row],[Klas. št. ]],Tabela_vhod[Opomba],Tabela410[[#This Row],[Opomba]],Tabela_vhod[Skladišno mesto],"Sklad-3")</f>
        <v>0</v>
      </c>
      <c r="F73" s="21">
        <f>_xlfn.MAXIFS(Tabela_vhod[Datum sprejema],Tabela_vhod[Klas. št. ],Tabela410[[#This Row],[Klas. št. ]],Tabela_vhod[Opomba],Tabela410[[#This Row],[Opomba]])</f>
        <v>0</v>
      </c>
      <c r="G73" s="21">
        <f>_xlfn.MAXIFS(Tabela_izhod[Datum izvoza],Tabela_izhod[Klas. št. ],Tabela410[[#This Row],[Klas. št. ]],Tabela_izhod[Opomba],Tabela410[[#This Row],[Opomba]])</f>
        <v>0</v>
      </c>
    </row>
    <row r="74" spans="1:7" s="2" customFormat="1" ht="30" customHeight="1" x14ac:dyDescent="0.25">
      <c r="A74" s="31" t="s">
        <v>50</v>
      </c>
      <c r="B74" s="32" t="str">
        <f>INDEX(Seznam_klasifikacij[Naziv],MATCH(Tabela410[[#This Row],[Klas. št. ]],Seznam_klasifikacij[Klasifikacija],0))</f>
        <v xml:space="preserve">Baterije in akumulatorji, ki so navedeni pod 16 06 01, 16 06 02 ali 16 06 03 ter nesortirane baterije in akumulatorji, ki vsebujejo te baterije in akumulatorje </v>
      </c>
      <c r="C74" s="33" t="s">
        <v>53</v>
      </c>
      <c r="D74" s="25">
        <f>SUMIFS(Tabela_vhod[Teža (kg)],Tabela_vhod[Klas. št. ],Tabela410[[#This Row],[Klas. št. ]],Tabela_vhod[Opomba],Tabela410[[#This Row],[Opomba]],Tabela_vhod[V skladišču],"DA",Tabela_vhod[Skladišno mesto],"Sklad-3")</f>
        <v>0</v>
      </c>
      <c r="E74" s="25">
        <f>COUNTIFS(Tabela_vhod[V skladišču],"DA",Tabela_vhod[Klas. št. ],Tabela410[[#This Row],[Klas. št. ]],Tabela_vhod[Opomba],Tabela410[[#This Row],[Opomba]],Tabela_vhod[Skladišno mesto],"Sklad-3")</f>
        <v>0</v>
      </c>
      <c r="F74" s="16">
        <f>_xlfn.MAXIFS(Tabela_vhod[Datum sprejema],Tabela_vhod[Klas. št. ],Tabela410[[#This Row],[Klas. št. ]],Tabela_vhod[Opomba],Tabela410[[#This Row],[Opomba]])</f>
        <v>44140</v>
      </c>
      <c r="G74" s="34">
        <f>_xlfn.MAXIFS(Tabela_izhod[Datum izvoza],Tabela_izhod[Klas. št. ],Tabela410[[#This Row],[Klas. št. ]],Tabela_izhod[Opomba],Tabela410[[#This Row],[Opomba]])</f>
        <v>44141</v>
      </c>
    </row>
    <row r="75" spans="1:7" s="2" customFormat="1" ht="30" customHeight="1" x14ac:dyDescent="0.25">
      <c r="A75" s="31" t="s">
        <v>72</v>
      </c>
      <c r="B75" s="32" t="str">
        <f>INDEX(Seznam_klasifikacij[Naziv],MATCH(Tabela410[[#This Row],[Klas. št. ]],Seznam_klasifikacij[Klasifikacija],0))</f>
        <v>Drugi tovrstni odpadki</v>
      </c>
      <c r="C75" s="33" t="s">
        <v>77</v>
      </c>
      <c r="D75" s="25">
        <f>SUMIFS(Tabela_vhod[Teža (kg)],Tabela_vhod[Klas. št. ],Tabela410[[#This Row],[Klas. št. ]],Tabela_vhod[Opomba],Tabela410[[#This Row],[Opomba]],Tabela_vhod[V skladišču],"DA",Tabela_vhod[Skladišno mesto],"Sklad-3")</f>
        <v>0</v>
      </c>
      <c r="E75" s="25">
        <f>COUNTIFS(Tabela_vhod[V skladišču],"DA",Tabela_vhod[Klas. št. ],Tabela410[[#This Row],[Klas. št. ]],Tabela_vhod[Opomba],Tabela410[[#This Row],[Opomba]],Tabela_vhod[Skladišno mesto],"Sklad-3")</f>
        <v>0</v>
      </c>
      <c r="F75" s="16">
        <f>_xlfn.MAXIFS(Tabela_vhod[Datum sprejema],Tabela_vhod[Klas. št. ],Tabela410[[#This Row],[Klas. št. ]],Tabela_vhod[Opomba],Tabela410[[#This Row],[Opomba]])</f>
        <v>44047</v>
      </c>
      <c r="G75" s="34">
        <f>_xlfn.MAXIFS(Tabela_izhod[Datum izvoza],Tabela_izhod[Klas. št. ],Tabela410[[#This Row],[Klas. št. ]],Tabela_izhod[Opomba],Tabela410[[#This Row],[Opomba]])</f>
        <v>44068</v>
      </c>
    </row>
    <row r="76" spans="1:7" s="2" customFormat="1" ht="30" customHeight="1" x14ac:dyDescent="0.25">
      <c r="A76" s="33" t="s">
        <v>78</v>
      </c>
      <c r="B76" s="33"/>
      <c r="C76" s="33"/>
      <c r="D76" s="25">
        <f>SUBTOTAL(109,Tabela410[Zaloga neto '[sklad-3'] (kg)])</f>
        <v>16885</v>
      </c>
      <c r="E76" s="25">
        <f>SUBTOTAL(109,Tabela410[Paletna mesta '[sklad-3']])</f>
        <v>55</v>
      </c>
      <c r="F76" s="16">
        <f>SUBTOTAL(104,Tabela410[Datum zadnjga sprejema])</f>
        <v>44151</v>
      </c>
      <c r="G76" s="38">
        <f>SUBTOTAL(104,Tabela410[Datum zadnjga izvoza])</f>
        <v>44145</v>
      </c>
    </row>
    <row r="77" spans="1:7" s="2" customFormat="1" ht="30" customHeight="1" x14ac:dyDescent="0.25"/>
    <row r="78" spans="1:7" s="2" customFormat="1" ht="30" customHeight="1" x14ac:dyDescent="0.25"/>
    <row r="79" spans="1:7" s="2" customFormat="1" ht="30" customHeight="1" x14ac:dyDescent="0.25"/>
    <row r="80" spans="1:7" s="2" customFormat="1" ht="30" customHeight="1" x14ac:dyDescent="0.25">
      <c r="A80" s="13"/>
      <c r="B80" s="14"/>
      <c r="C80" s="14"/>
    </row>
    <row r="81" spans="2:3" s="2" customFormat="1" ht="30" customHeight="1" x14ac:dyDescent="0.25">
      <c r="B81" s="3"/>
      <c r="C81" s="3"/>
    </row>
    <row r="82" spans="2:3" s="2" customFormat="1" ht="30" customHeight="1" x14ac:dyDescent="0.25">
      <c r="B82" s="3"/>
      <c r="C82" s="3"/>
    </row>
    <row r="83" spans="2:3" s="2" customFormat="1" ht="30" customHeight="1" x14ac:dyDescent="0.25">
      <c r="B83" s="3"/>
      <c r="C83" s="3"/>
    </row>
    <row r="84" spans="2:3" s="2" customFormat="1" ht="30" customHeight="1" x14ac:dyDescent="0.25">
      <c r="B84" s="3"/>
      <c r="C84" s="3"/>
    </row>
    <row r="85" spans="2:3" s="2" customFormat="1" ht="30" customHeight="1" x14ac:dyDescent="0.25">
      <c r="B85" s="3"/>
      <c r="C85" s="3"/>
    </row>
    <row r="86" spans="2:3" s="2" customFormat="1" ht="30" customHeight="1" x14ac:dyDescent="0.25">
      <c r="B86" s="3"/>
      <c r="C86" s="3"/>
    </row>
    <row r="87" spans="2:3" s="2" customFormat="1" ht="30" customHeight="1" x14ac:dyDescent="0.25">
      <c r="B87" s="3"/>
      <c r="C87" s="3"/>
    </row>
    <row r="88" spans="2:3" s="2" customFormat="1" ht="30" customHeight="1" x14ac:dyDescent="0.25">
      <c r="B88" s="3"/>
      <c r="C88" s="3"/>
    </row>
    <row r="89" spans="2:3" s="2" customFormat="1" ht="30" customHeight="1" x14ac:dyDescent="0.25">
      <c r="B89" s="3"/>
      <c r="C89" s="3"/>
    </row>
    <row r="90" spans="2:3" s="2" customFormat="1" ht="30" customHeight="1" x14ac:dyDescent="0.25">
      <c r="B90" s="3"/>
      <c r="C90" s="3"/>
    </row>
    <row r="91" spans="2:3" s="2" customFormat="1" ht="30" customHeight="1" x14ac:dyDescent="0.25">
      <c r="B91" s="3"/>
      <c r="C91" s="3"/>
    </row>
    <row r="92" spans="2:3" s="2" customFormat="1" ht="30" customHeight="1" x14ac:dyDescent="0.25">
      <c r="B92" s="3"/>
      <c r="C92" s="3"/>
    </row>
    <row r="93" spans="2:3" s="2" customFormat="1" ht="30" customHeight="1" x14ac:dyDescent="0.25">
      <c r="B93" s="3"/>
      <c r="C93" s="3"/>
    </row>
    <row r="94" spans="2:3" s="2" customFormat="1" ht="30" customHeight="1" x14ac:dyDescent="0.25">
      <c r="B94" s="3"/>
      <c r="C94" s="3"/>
    </row>
    <row r="95" spans="2:3" s="2" customFormat="1" ht="30" customHeight="1" x14ac:dyDescent="0.25">
      <c r="B95" s="3"/>
      <c r="C95" s="3"/>
    </row>
    <row r="96" spans="2:3" s="2" customFormat="1" ht="30" customHeight="1" x14ac:dyDescent="0.25">
      <c r="B96" s="3"/>
      <c r="C96" s="3"/>
    </row>
    <row r="97" spans="2:3" s="2" customFormat="1" ht="30" customHeight="1" x14ac:dyDescent="0.25">
      <c r="B97" s="3"/>
      <c r="C97" s="3"/>
    </row>
    <row r="98" spans="2:3" s="2" customFormat="1" ht="30" customHeight="1" x14ac:dyDescent="0.25">
      <c r="B98" s="3"/>
      <c r="C98" s="3"/>
    </row>
    <row r="99" spans="2:3" s="2" customFormat="1" ht="30" customHeight="1" x14ac:dyDescent="0.25">
      <c r="B99" s="3"/>
      <c r="C99" s="3"/>
    </row>
    <row r="100" spans="2:3" s="2" customFormat="1" ht="30" customHeight="1" x14ac:dyDescent="0.25">
      <c r="B100" s="3"/>
      <c r="C100" s="3"/>
    </row>
    <row r="101" spans="2:3" s="2" customFormat="1" ht="30" customHeight="1" x14ac:dyDescent="0.25">
      <c r="B101" s="3"/>
      <c r="C101" s="3"/>
    </row>
    <row r="102" spans="2:3" s="2" customFormat="1" ht="30" customHeight="1" x14ac:dyDescent="0.25">
      <c r="B102" s="3"/>
      <c r="C102" s="3"/>
    </row>
    <row r="103" spans="2:3" s="2" customFormat="1" ht="30" customHeight="1" x14ac:dyDescent="0.25">
      <c r="B103" s="3"/>
      <c r="C103" s="3"/>
    </row>
    <row r="104" spans="2:3" s="2" customFormat="1" ht="30" customHeight="1" x14ac:dyDescent="0.25">
      <c r="B104" s="3"/>
      <c r="C104" s="3"/>
    </row>
    <row r="105" spans="2:3" s="2" customFormat="1" ht="30" customHeight="1" x14ac:dyDescent="0.25">
      <c r="B105" s="3"/>
      <c r="C105" s="3"/>
    </row>
    <row r="106" spans="2:3" s="2" customFormat="1" ht="30" customHeight="1" x14ac:dyDescent="0.25">
      <c r="B106" s="3"/>
      <c r="C106" s="3"/>
    </row>
    <row r="107" spans="2:3" s="2" customFormat="1" ht="30" customHeight="1" x14ac:dyDescent="0.25">
      <c r="B107" s="3"/>
      <c r="C107" s="3"/>
    </row>
    <row r="108" spans="2:3" s="2" customFormat="1" ht="30" customHeight="1" x14ac:dyDescent="0.25">
      <c r="B108" s="3"/>
      <c r="C108" s="3"/>
    </row>
    <row r="109" spans="2:3" s="2" customFormat="1" ht="30" customHeight="1" x14ac:dyDescent="0.25">
      <c r="B109" s="3"/>
      <c r="C109" s="3"/>
    </row>
    <row r="110" spans="2:3" s="2" customFormat="1" ht="30" customHeight="1" x14ac:dyDescent="0.25">
      <c r="B110" s="3"/>
      <c r="C110" s="3"/>
    </row>
    <row r="111" spans="2:3" s="2" customFormat="1" ht="30" customHeight="1" x14ac:dyDescent="0.25">
      <c r="B111" s="3"/>
      <c r="C111" s="3"/>
    </row>
    <row r="112" spans="2:3" s="2" customFormat="1" ht="30" customHeight="1" x14ac:dyDescent="0.25">
      <c r="B112" s="3"/>
      <c r="C112" s="3"/>
    </row>
    <row r="113" spans="1:3" s="2" customFormat="1" ht="30" customHeight="1" x14ac:dyDescent="0.25">
      <c r="B113" s="3"/>
      <c r="C113" s="3"/>
    </row>
    <row r="114" spans="1:3" s="2" customFormat="1" ht="30" customHeight="1" x14ac:dyDescent="0.25">
      <c r="B114" s="3"/>
      <c r="C114" s="3"/>
    </row>
    <row r="115" spans="1:3" s="2" customFormat="1" ht="30" customHeight="1" x14ac:dyDescent="0.25">
      <c r="B115" s="3"/>
      <c r="C115" s="3"/>
    </row>
    <row r="116" spans="1:3" s="2" customFormat="1" ht="30" customHeight="1" x14ac:dyDescent="0.25">
      <c r="B116" s="3"/>
      <c r="C116" s="3"/>
    </row>
    <row r="117" spans="1:3" x14ac:dyDescent="0.25">
      <c r="A117" s="2"/>
      <c r="B117" s="3"/>
      <c r="C117" s="3"/>
    </row>
    <row r="118" spans="1:3" x14ac:dyDescent="0.25">
      <c r="A118" s="2"/>
      <c r="B118" s="3"/>
      <c r="C118" s="3"/>
    </row>
    <row r="119" spans="1:3" x14ac:dyDescent="0.25">
      <c r="A119" s="2"/>
      <c r="B119" s="3"/>
      <c r="C119" s="3"/>
    </row>
    <row r="120" spans="1:3" x14ac:dyDescent="0.25">
      <c r="A120" s="2"/>
      <c r="B120" s="3"/>
      <c r="C120" s="3"/>
    </row>
    <row r="121" spans="1:3" x14ac:dyDescent="0.25">
      <c r="A121" s="2"/>
      <c r="B121" s="3"/>
      <c r="C121" s="3"/>
    </row>
    <row r="122" spans="1:3" x14ac:dyDescent="0.25">
      <c r="A122" s="2"/>
      <c r="B122" s="3"/>
      <c r="C122" s="3"/>
    </row>
    <row r="123" spans="1:3" x14ac:dyDescent="0.25">
      <c r="A123" s="2"/>
      <c r="B123" s="3"/>
      <c r="C123" s="3"/>
    </row>
    <row r="124" spans="1:3" x14ac:dyDescent="0.25">
      <c r="A124" s="2"/>
      <c r="B124" s="3"/>
      <c r="C124" s="3"/>
    </row>
    <row r="125" spans="1:3" x14ac:dyDescent="0.25">
      <c r="A125" s="2"/>
      <c r="B125" s="3"/>
      <c r="C125" s="3"/>
    </row>
    <row r="126" spans="1:3" x14ac:dyDescent="0.25">
      <c r="A126" s="2"/>
      <c r="B126" s="3"/>
      <c r="C126" s="3"/>
    </row>
    <row r="127" spans="1:3" x14ac:dyDescent="0.25">
      <c r="A127" s="2"/>
      <c r="B127" s="3"/>
      <c r="C127" s="3"/>
    </row>
    <row r="128" spans="1:3" x14ac:dyDescent="0.25">
      <c r="A128" s="2"/>
      <c r="B128" s="3"/>
      <c r="C128" s="3"/>
    </row>
    <row r="129" spans="1:3" x14ac:dyDescent="0.25">
      <c r="A129" s="2"/>
      <c r="B129" s="3"/>
      <c r="C129" s="3"/>
    </row>
    <row r="130" spans="1:3" x14ac:dyDescent="0.25">
      <c r="A130" s="2"/>
      <c r="B130" s="3"/>
      <c r="C130" s="3"/>
    </row>
    <row r="131" spans="1:3" x14ac:dyDescent="0.25">
      <c r="A131" s="2"/>
      <c r="B131" s="3"/>
      <c r="C131" s="3"/>
    </row>
    <row r="132" spans="1:3" x14ac:dyDescent="0.25">
      <c r="A132" s="2"/>
      <c r="B132" s="3"/>
      <c r="C132" s="3"/>
    </row>
    <row r="133" spans="1:3" x14ac:dyDescent="0.25">
      <c r="A133" s="2"/>
      <c r="B133" s="3"/>
      <c r="C133" s="3"/>
    </row>
    <row r="134" spans="1:3" x14ac:dyDescent="0.25">
      <c r="A134" s="2"/>
      <c r="B134" s="3"/>
      <c r="C134" s="3"/>
    </row>
    <row r="135" spans="1:3" x14ac:dyDescent="0.25">
      <c r="A135" s="2"/>
      <c r="B135" s="3"/>
      <c r="C135" s="3"/>
    </row>
    <row r="136" spans="1:3" x14ac:dyDescent="0.25">
      <c r="A136" s="2"/>
      <c r="B136" s="3"/>
      <c r="C136" s="3"/>
    </row>
    <row r="137" spans="1:3" x14ac:dyDescent="0.25">
      <c r="A137" s="2"/>
      <c r="B137" s="3"/>
      <c r="C137" s="3"/>
    </row>
    <row r="138" spans="1:3" x14ac:dyDescent="0.25">
      <c r="A138" s="2"/>
      <c r="B138" s="3"/>
      <c r="C138" s="3"/>
    </row>
    <row r="139" spans="1:3" x14ac:dyDescent="0.25">
      <c r="A139" s="2"/>
      <c r="B139" s="3"/>
      <c r="C139" s="3"/>
    </row>
    <row r="140" spans="1:3" x14ac:dyDescent="0.25">
      <c r="A140" s="2"/>
      <c r="B140" s="3"/>
      <c r="C140" s="3"/>
    </row>
    <row r="141" spans="1:3" x14ac:dyDescent="0.25">
      <c r="A141" s="2"/>
      <c r="B141" s="3"/>
      <c r="C141" s="3"/>
    </row>
    <row r="142" spans="1:3" x14ac:dyDescent="0.25">
      <c r="A142" s="2"/>
      <c r="B142" s="3"/>
      <c r="C142" s="3"/>
    </row>
    <row r="143" spans="1:3" x14ac:dyDescent="0.25">
      <c r="A143" s="2"/>
      <c r="B143" s="3"/>
      <c r="C143" s="3"/>
    </row>
    <row r="144" spans="1:3" x14ac:dyDescent="0.25">
      <c r="A144" s="2"/>
      <c r="B144" s="3"/>
      <c r="C144" s="3"/>
    </row>
    <row r="145" spans="1:3" x14ac:dyDescent="0.25">
      <c r="A145" s="2"/>
      <c r="B145" s="3"/>
      <c r="C145" s="3"/>
    </row>
    <row r="146" spans="1:3" x14ac:dyDescent="0.25">
      <c r="A146" s="2"/>
      <c r="B146" s="3"/>
      <c r="C146" s="3"/>
    </row>
    <row r="147" spans="1:3" x14ac:dyDescent="0.25">
      <c r="A147" s="2"/>
      <c r="B147" s="3"/>
      <c r="C147" s="3"/>
    </row>
    <row r="148" spans="1:3" x14ac:dyDescent="0.25">
      <c r="A148" s="2"/>
      <c r="B148" s="3"/>
      <c r="C148" s="3"/>
    </row>
    <row r="149" spans="1:3" x14ac:dyDescent="0.25">
      <c r="A149" s="2"/>
      <c r="B149" s="3"/>
      <c r="C149" s="3"/>
    </row>
    <row r="150" spans="1:3" x14ac:dyDescent="0.25">
      <c r="A150" s="2"/>
      <c r="B150" s="3"/>
      <c r="C150" s="3"/>
    </row>
    <row r="151" spans="1:3" x14ac:dyDescent="0.25">
      <c r="A151" s="2"/>
      <c r="B151" s="3"/>
      <c r="C151" s="3"/>
    </row>
    <row r="152" spans="1:3" x14ac:dyDescent="0.25">
      <c r="A152" s="2"/>
      <c r="B152" s="3"/>
      <c r="C152" s="3"/>
    </row>
    <row r="153" spans="1:3" x14ac:dyDescent="0.25">
      <c r="A153" s="2"/>
      <c r="B153" s="3"/>
      <c r="C153" s="3"/>
    </row>
    <row r="154" spans="1:3" x14ac:dyDescent="0.25">
      <c r="A154" s="2"/>
      <c r="B154" s="3"/>
      <c r="C154" s="3"/>
    </row>
    <row r="155" spans="1:3" x14ac:dyDescent="0.25">
      <c r="A155" s="2"/>
      <c r="B155" s="3"/>
      <c r="C155" s="3"/>
    </row>
    <row r="156" spans="1:3" x14ac:dyDescent="0.25">
      <c r="A156" s="2"/>
      <c r="B156" s="3"/>
      <c r="C156" s="3"/>
    </row>
    <row r="157" spans="1:3" x14ac:dyDescent="0.25">
      <c r="A157" s="2"/>
      <c r="B157" s="3"/>
      <c r="C157" s="3"/>
    </row>
    <row r="158" spans="1:3" x14ac:dyDescent="0.25">
      <c r="A158" s="2"/>
      <c r="B158" s="3"/>
      <c r="C158" s="3"/>
    </row>
    <row r="159" spans="1:3" x14ac:dyDescent="0.25">
      <c r="A159" s="2"/>
      <c r="B159" s="3"/>
      <c r="C159" s="3"/>
    </row>
    <row r="160" spans="1:3" x14ac:dyDescent="0.25">
      <c r="A160" s="2"/>
      <c r="B160" s="3"/>
      <c r="C160" s="3"/>
    </row>
    <row r="161" spans="1:3" x14ac:dyDescent="0.25">
      <c r="A161" s="2"/>
      <c r="B161" s="3"/>
      <c r="C161" s="3"/>
    </row>
    <row r="162" spans="1:3" x14ac:dyDescent="0.25">
      <c r="A162" s="2"/>
      <c r="B162" s="3"/>
      <c r="C162" s="3"/>
    </row>
    <row r="163" spans="1:3" x14ac:dyDescent="0.25">
      <c r="A163" s="2"/>
      <c r="B163" s="3"/>
      <c r="C163" s="3"/>
    </row>
    <row r="164" spans="1:3" x14ac:dyDescent="0.25">
      <c r="A164" s="2"/>
      <c r="B164" s="3"/>
      <c r="C164" s="3"/>
    </row>
    <row r="165" spans="1:3" x14ac:dyDescent="0.25">
      <c r="A165" s="2"/>
      <c r="B165" s="3"/>
      <c r="C165" s="3"/>
    </row>
    <row r="166" spans="1:3" x14ac:dyDescent="0.25">
      <c r="A166" s="2"/>
      <c r="B166" s="3"/>
      <c r="C166" s="3"/>
    </row>
  </sheetData>
  <pageMargins left="0.7" right="0.7" top="0.75" bottom="0.75" header="0.3" footer="0.3"/>
  <pageSetup paperSize="9" orientation="landscape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7BDF2A-4B27-44A1-B846-25A7E969D788}">
          <x14:formula1>
            <xm:f>Podatki!$E$2:$E$49</xm:f>
          </x14:formula1>
          <xm:sqref>C97:C103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32774-DACA-4D1D-B3A2-1095120AFE7F}">
  <sheetPr>
    <tabColor theme="5"/>
  </sheetPr>
  <dimension ref="A1:G168"/>
  <sheetViews>
    <sheetView workbookViewId="0">
      <selection activeCell="K3" sqref="K3"/>
    </sheetView>
  </sheetViews>
  <sheetFormatPr defaultRowHeight="15" x14ac:dyDescent="0.25"/>
  <cols>
    <col min="1" max="1" width="10.28515625" customWidth="1"/>
    <col min="2" max="2" width="60.5703125" style="1" customWidth="1"/>
    <col min="3" max="3" width="9.28515625" style="1" customWidth="1"/>
    <col min="4" max="4" width="10.42578125" style="6" customWidth="1"/>
    <col min="5" max="5" width="9" style="6" customWidth="1"/>
    <col min="6" max="6" width="11.7109375" customWidth="1"/>
    <col min="7" max="7" width="12.5703125" customWidth="1"/>
  </cols>
  <sheetData>
    <row r="1" spans="1:7" s="5" customFormat="1" ht="67.5" customHeight="1" x14ac:dyDescent="0.25">
      <c r="A1" s="17" t="s">
        <v>15</v>
      </c>
      <c r="B1" s="17" t="s">
        <v>16</v>
      </c>
      <c r="C1" s="17" t="s">
        <v>37</v>
      </c>
      <c r="D1" s="18" t="s">
        <v>214</v>
      </c>
      <c r="E1" s="18" t="s">
        <v>215</v>
      </c>
      <c r="F1" s="19" t="s">
        <v>35</v>
      </c>
      <c r="G1" s="22" t="s">
        <v>44</v>
      </c>
    </row>
    <row r="2" spans="1:7" s="5" customFormat="1" ht="27.75" customHeight="1" x14ac:dyDescent="0.25">
      <c r="A2" s="27" t="s">
        <v>157</v>
      </c>
      <c r="B2" s="30" t="str">
        <f>INDEX(Seznam_klasifikacij[Naziv],MATCH(Tabela49[[#This Row],[Klas. št. ]],Seznam_klasifikacij[Klasifikacija],0))</f>
        <v>Laboratorijske kemikalije, ki so sestavljene iz nevarne snovi ali jih vsebujejo, vključno z mešanicami laboratorijskih kemikalij</v>
      </c>
      <c r="C2" s="89" t="s">
        <v>53</v>
      </c>
      <c r="D2" s="20">
        <f>SUMIFS(Tabela_vhod[Teža (kg)],Tabela_vhod[Klas. št. ],Tabela49[[#This Row],[Klas. št. ]],Tabela_vhod[Opomba],Tabela49[[#This Row],[Opomba]],Tabela_vhod[V skladišču],"DA",Tabela_vhod[Skladišno mesto],"Sklad-7")</f>
        <v>3898</v>
      </c>
      <c r="E2" s="20">
        <f>COUNTIFS(Tabela_vhod[V skladišču],"DA",Tabela_vhod[Klas. št. ],Tabela49[[#This Row],[Klas. št. ]],Tabela_vhod[Opomba],Tabela49[[#This Row],[Opomba]],Tabela_vhod[Skladišno mesto],"Sklad-7")</f>
        <v>13</v>
      </c>
      <c r="F2" s="21">
        <f>_xlfn.MAXIFS(Tabela_vhod[Datum sprejema],Tabela_vhod[Klas. št. ],Tabela49[[#This Row],[Klas. št. ]],Tabela_vhod[Opomba],Tabela49[[#This Row],[Opomba]])</f>
        <v>44114</v>
      </c>
      <c r="G2" s="21">
        <f>_xlfn.MAXIFS(Tabela_izhod[Datum izvoza],Tabela_izhod[Klas. št. ],Tabela49[[#This Row],[Klas. št. ]],Tabela_izhod[Opomba],Tabela49[[#This Row],[Opomba]])</f>
        <v>0</v>
      </c>
    </row>
    <row r="3" spans="1:7" s="2" customFormat="1" ht="30" customHeight="1" x14ac:dyDescent="0.25">
      <c r="A3" s="27" t="s">
        <v>29</v>
      </c>
      <c r="B3" s="30" t="str">
        <f>INDEX(Seznam_klasifikacij[Naziv],MATCH(Tabela49[[#This Row],[Klas. št. ]],Seznam_klasifikacij[Klasifikacija],0))</f>
        <v>Nikelj-kadmijeve baterije</v>
      </c>
      <c r="C3" s="89" t="s">
        <v>229</v>
      </c>
      <c r="D3" s="20">
        <f>SUMIFS(Tabela_vhod[Teža (kg)],Tabela_vhod[Klas. št. ],Tabela49[[#This Row],[Klas. št. ]],Tabela_vhod[Opomba],Tabela49[[#This Row],[Opomba]],Tabela_vhod[V skladišču],"DA",Tabela_vhod[Skladišno mesto],"Sklad-7")</f>
        <v>8474</v>
      </c>
      <c r="E3" s="20">
        <f>COUNTIFS(Tabela_vhod[V skladišču],"DA",Tabela_vhod[Klas. št. ],Tabela49[[#This Row],[Klas. št. ]],Tabela_vhod[Opomba],Tabela49[[#This Row],[Opomba]],Tabela_vhod[Skladišno mesto],"Sklad-7")</f>
        <v>8</v>
      </c>
      <c r="F3" s="21">
        <f>_xlfn.MAXIFS(Tabela_vhod[Datum sprejema],Tabela_vhod[Klas. št. ],Tabela49[[#This Row],[Klas. št. ]],Tabela_vhod[Opomba],Tabela49[[#This Row],[Opomba]])</f>
        <v>44114</v>
      </c>
      <c r="G3" s="21">
        <f>_xlfn.MAXIFS(Tabela_izhod[Datum izvoza],Tabela_izhod[Klas. št. ],Tabela49[[#This Row],[Klas. št. ]],Tabela_izhod[Opomba],Tabela49[[#This Row],[Opomba]])</f>
        <v>0</v>
      </c>
    </row>
    <row r="4" spans="1:7" s="2" customFormat="1" ht="30" customHeight="1" x14ac:dyDescent="0.25">
      <c r="A4" s="71" t="s">
        <v>101</v>
      </c>
      <c r="B4" s="63" t="str">
        <f>INDEX(Seznam_klasifikacij[Naziv],MATCH(Tabela49[[#This Row],[Klas. št. ]],Seznam_klasifikacij[Klasifikacija],0))</f>
        <v>Druge kisline</v>
      </c>
      <c r="C4" s="89" t="s">
        <v>181</v>
      </c>
      <c r="D4" s="65">
        <f>SUMIFS(Tabela_vhod[Teža (kg)],Tabela_vhod[Klas. št. ],Tabela49[[#This Row],[Klas. št. ]],Tabela_vhod[Opomba],Tabela49[[#This Row],[Opomba]],Tabela_vhod[V skladišču],"DA",Tabela_vhod[Skladišno mesto],"Sklad-7")</f>
        <v>0</v>
      </c>
      <c r="E4" s="65">
        <f>COUNTIFS(Tabela_vhod[V skladišču],"DA",Tabela_vhod[Klas. št. ],Tabela49[[#This Row],[Klas. št. ]],Tabela_vhod[Opomba],Tabela49[[#This Row],[Opomba]],Tabela_vhod[Skladišno mesto],"Sklad-7")</f>
        <v>0</v>
      </c>
      <c r="F4" s="66">
        <f>_xlfn.MAXIFS(Tabela_vhod[Datum sprejema],Tabela_vhod[Klas. št. ],Tabela49[[#This Row],[Klas. št. ]],Tabela_vhod[Opomba],Tabela49[[#This Row],[Opomba]])</f>
        <v>44114</v>
      </c>
      <c r="G4" s="66">
        <f>_xlfn.MAXIFS(Tabela_izhod[Datum izvoza],Tabela_izhod[Klas. št. ],Tabela49[[#This Row],[Klas. št. ]],Tabela_izhod[Opomba],Tabela49[[#This Row],[Opomba]])</f>
        <v>44145</v>
      </c>
    </row>
    <row r="5" spans="1:7" s="2" customFormat="1" ht="30" customHeight="1" x14ac:dyDescent="0.25">
      <c r="A5" s="71" t="s">
        <v>103</v>
      </c>
      <c r="B5" s="63" t="str">
        <f>INDEX(Seznam_klasifikacij[Naziv],MATCH(Tabela49[[#This Row],[Klas. št. ]],Seznam_klasifikacij[Klasifikacija],0))</f>
        <v>Drugi lugi</v>
      </c>
      <c r="C5" s="89" t="s">
        <v>53</v>
      </c>
      <c r="D5" s="65">
        <f>SUMIFS(Tabela_vhod[Teža (kg)],Tabela_vhod[Klas. št. ],Tabela49[[#This Row],[Klas. št. ]],Tabela_vhod[Opomba],Tabela49[[#This Row],[Opomba]],Tabela_vhod[V skladišču],"DA",Tabela_vhod[Skladišno mesto],"Sklad-7")</f>
        <v>240</v>
      </c>
      <c r="E5" s="65">
        <f>COUNTIFS(Tabela_vhod[V skladišču],"DA",Tabela_vhod[Klas. št. ],Tabela49[[#This Row],[Klas. št. ]],Tabela_vhod[Opomba],Tabela49[[#This Row],[Opomba]],Tabela_vhod[Skladišno mesto],"Sklad-7")</f>
        <v>1</v>
      </c>
      <c r="F5" s="66">
        <f>_xlfn.MAXIFS(Tabela_vhod[Datum sprejema],Tabela_vhod[Klas. št. ],Tabela49[[#This Row],[Klas. št. ]],Tabela_vhod[Opomba],Tabela49[[#This Row],[Opomba]])</f>
        <v>44114</v>
      </c>
      <c r="G5" s="66">
        <f>_xlfn.MAXIFS(Tabela_izhod[Datum izvoza],Tabela_izhod[Klas. št. ],Tabela49[[#This Row],[Klas. št. ]],Tabela_izhod[Opomba],Tabela49[[#This Row],[Opomba]])</f>
        <v>44145</v>
      </c>
    </row>
    <row r="6" spans="1:7" s="2" customFormat="1" ht="30" customHeight="1" x14ac:dyDescent="0.25">
      <c r="A6" s="27" t="s">
        <v>163</v>
      </c>
      <c r="B6" s="30" t="str">
        <f>INDEX(Seznam_klasifikacij[Naziv],MATCH(Tabela49[[#This Row],[Klas. št. ]],Seznam_klasifikacij[Klasifikacija],0))</f>
        <v>Odpadne vodne raztopine, ki vsebujejo nevarne snovi</v>
      </c>
      <c r="C6" s="89" t="s">
        <v>53</v>
      </c>
      <c r="D6" s="20">
        <f>SUMIFS(Tabela_vhod[Teža (kg)],Tabela_vhod[Klas. št. ],Tabela49[[#This Row],[Klas. št. ]],Tabela_vhod[Opomba],Tabela49[[#This Row],[Opomba]],Tabela_vhod[V skladišču],"DA",Tabela_vhod[Skladišno mesto],"Sklad-7")</f>
        <v>865</v>
      </c>
      <c r="E6" s="20">
        <f>COUNTIFS(Tabela_vhod[V skladišču],"DA",Tabela_vhod[Klas. št. ],Tabela49[[#This Row],[Klas. št. ]],Tabela_vhod[Opomba],Tabela49[[#This Row],[Opomba]],Tabela_vhod[Skladišno mesto],"Sklad-7")</f>
        <v>2</v>
      </c>
      <c r="F6" s="21">
        <f>_xlfn.MAXIFS(Tabela_vhod[Datum sprejema],Tabela_vhod[Klas. št. ],Tabela49[[#This Row],[Klas. št. ]],Tabela_vhod[Opomba],Tabela49[[#This Row],[Opomba]])</f>
        <v>44114</v>
      </c>
      <c r="G6" s="21">
        <f>_xlfn.MAXIFS(Tabela_izhod[Datum izvoza],Tabela_izhod[Klas. št. ],Tabela49[[#This Row],[Klas. št. ]],Tabela_izhod[Opomba],Tabela49[[#This Row],[Opomba]])</f>
        <v>0</v>
      </c>
    </row>
    <row r="7" spans="1:7" s="2" customFormat="1" ht="30" customHeight="1" x14ac:dyDescent="0.25">
      <c r="A7" s="71" t="s">
        <v>101</v>
      </c>
      <c r="B7" s="63" t="str">
        <f>INDEX(Seznam_klasifikacij[Naziv],MATCH(Tabela49[[#This Row],[Klas. št. ]],Seznam_klasifikacij[Klasifikacija],0))</f>
        <v>Druge kisline</v>
      </c>
      <c r="C7" s="89" t="s">
        <v>53</v>
      </c>
      <c r="D7" s="65">
        <f>SUMIFS(Tabela_vhod[Teža (kg)],Tabela_vhod[Klas. št. ],Tabela49[[#This Row],[Klas. št. ]],Tabela_vhod[Opomba],Tabela49[[#This Row],[Opomba]],Tabela_vhod[V skladišču],"DA",Tabela_vhod[Skladišno mesto],"Sklad-7")</f>
        <v>161</v>
      </c>
      <c r="E7" s="65">
        <f>COUNTIFS(Tabela_vhod[V skladišču],"DA",Tabela_vhod[Klas. št. ],Tabela49[[#This Row],[Klas. št. ]],Tabela_vhod[Opomba],Tabela49[[#This Row],[Opomba]],Tabela_vhod[Skladišno mesto],"Sklad-7")</f>
        <v>1</v>
      </c>
      <c r="F7" s="66">
        <f>_xlfn.MAXIFS(Tabela_vhod[Datum sprejema],Tabela_vhod[Klas. št. ],Tabela49[[#This Row],[Klas. št. ]],Tabela_vhod[Opomba],Tabela49[[#This Row],[Opomba]])</f>
        <v>44114</v>
      </c>
      <c r="G7" s="66">
        <f>_xlfn.MAXIFS(Tabela_izhod[Datum izvoza],Tabela_izhod[Klas. št. ],Tabela49[[#This Row],[Klas. št. ]],Tabela_izhod[Opomba],Tabela49[[#This Row],[Opomba]])</f>
        <v>0</v>
      </c>
    </row>
    <row r="8" spans="1:7" s="2" customFormat="1" ht="30" customHeight="1" x14ac:dyDescent="0.25">
      <c r="A8" s="27" t="s">
        <v>29</v>
      </c>
      <c r="B8" s="28" t="str">
        <f>INDEX(Seznam_klasifikacij[Naziv],MATCH(Tabela49[[#This Row],[Klas. št. ]],Seznam_klasifikacij[Klasifikacija],0))</f>
        <v>Nikelj-kadmijeve baterije</v>
      </c>
      <c r="C8" s="89" t="s">
        <v>53</v>
      </c>
      <c r="D8" s="20">
        <f>SUMIFS(Tabela_vhod[Teža (kg)],Tabela_vhod[Klas. št. ],Tabela49[[#This Row],[Klas. št. ]],Tabela_vhod[Opomba],Tabela49[[#This Row],[Opomba]],Tabela_vhod[V skladišču],"DA",Tabela_vhod[Skladišno mesto],"Sklad-7")</f>
        <v>1</v>
      </c>
      <c r="E8" s="20">
        <f>COUNTIFS(Tabela_vhod[V skladišču],"DA",Tabela_vhod[Klas. št. ],Tabela49[[#This Row],[Klas. št. ]],Tabela_vhod[Opomba],Tabela49[[#This Row],[Opomba]],Tabela_vhod[Skladišno mesto],"Sklad-7")</f>
        <v>1</v>
      </c>
      <c r="F8" s="21">
        <f>_xlfn.MAXIFS(Tabela_vhod[Datum sprejema],Tabela_vhod[Klas. št. ],Tabela49[[#This Row],[Klas. št. ]],Tabela_vhod[Opomba],Tabela49[[#This Row],[Opomba]])</f>
        <v>44114</v>
      </c>
      <c r="G8" s="21">
        <f>_xlfn.MAXIFS(Tabela_izhod[Datum izvoza],Tabela_izhod[Klas. št. ],Tabela49[[#This Row],[Klas. št. ]],Tabela_izhod[Opomba],Tabela49[[#This Row],[Opomba]])</f>
        <v>44145</v>
      </c>
    </row>
    <row r="9" spans="1:7" s="2" customFormat="1" ht="30" customHeight="1" x14ac:dyDescent="0.25">
      <c r="A9" s="27" t="s">
        <v>161</v>
      </c>
      <c r="B9" s="30" t="str">
        <f>INDEX(Seznam_klasifikacij[Naziv],MATCH(Tabela49[[#This Row],[Klas. št. ]],Seznam_klasifikacij[Klasifikacija],0))</f>
        <v>Ločeno zbrani elektroliti iz baterij in akumulatorjev</v>
      </c>
      <c r="C9" s="89" t="s">
        <v>229</v>
      </c>
      <c r="D9" s="20">
        <f>SUMIFS(Tabela_vhod[Teža (kg)],Tabela_vhod[Klas. št. ],Tabela49[[#This Row],[Klas. št. ]],Tabela_vhod[Opomba],Tabela49[[#This Row],[Opomba]],Tabela_vhod[V skladišču],"DA",Tabela_vhod[Skladišno mesto],"Sklad-7")</f>
        <v>1</v>
      </c>
      <c r="E9" s="20">
        <f>COUNTIFS(Tabela_vhod[V skladišču],"DA",Tabela_vhod[Klas. št. ],Tabela49[[#This Row],[Klas. št. ]],Tabela_vhod[Opomba],Tabela49[[#This Row],[Opomba]],Tabela_vhod[Skladišno mesto],"Sklad-7")</f>
        <v>1</v>
      </c>
      <c r="F9" s="21">
        <f>_xlfn.MAXIFS(Tabela_vhod[Datum sprejema],Tabela_vhod[Klas. št. ],Tabela49[[#This Row],[Klas. št. ]],Tabela_vhod[Opomba],Tabela49[[#This Row],[Opomba]])</f>
        <v>44114</v>
      </c>
      <c r="G9" s="21">
        <f>_xlfn.MAXIFS(Tabela_izhod[Datum izvoza],Tabela_izhod[Klas. št. ],Tabela49[[#This Row],[Klas. št. ]],Tabela_izhod[Opomba],Tabela49[[#This Row],[Opomba]])</f>
        <v>0</v>
      </c>
    </row>
    <row r="10" spans="1:7" s="2" customFormat="1" ht="30" customHeight="1" x14ac:dyDescent="0.25">
      <c r="A10" s="71" t="s">
        <v>99</v>
      </c>
      <c r="B10" s="63" t="str">
        <f>INDEX(Seznam_klasifikacij[Naziv],MATCH(Tabela49[[#This Row],[Klas. št. ]],Seznam_klasifikacij[Klasifikacija],0))</f>
        <v>Klorovodikova kislina</v>
      </c>
      <c r="C10" s="89" t="s">
        <v>53</v>
      </c>
      <c r="D10" s="65">
        <f>SUMIFS(Tabela_vhod[Teža (kg)],Tabela_vhod[Klas. št. ],Tabela49[[#This Row],[Klas. št. ]],Tabela_vhod[Opomba],Tabela49[[#This Row],[Opomba]],Tabela_vhod[V skladišču],"DA",Tabela_vhod[Skladišno mesto],"Sklad-7")</f>
        <v>0</v>
      </c>
      <c r="E10" s="65">
        <f>COUNTIFS(Tabela_vhod[V skladišču],"DA",Tabela_vhod[Klas. št. ],Tabela49[[#This Row],[Klas. št. ]],Tabela_vhod[Opomba],Tabela49[[#This Row],[Opomba]],Tabela_vhod[Skladišno mesto],"Sklad-7")</f>
        <v>0</v>
      </c>
      <c r="F10" s="66">
        <f>_xlfn.MAXIFS(Tabela_vhod[Datum sprejema],Tabela_vhod[Klas. št. ],Tabela49[[#This Row],[Klas. št. ]],Tabela_vhod[Opomba],Tabela49[[#This Row],[Opomba]])</f>
        <v>0</v>
      </c>
      <c r="G10" s="66">
        <f>_xlfn.MAXIFS(Tabela_izhod[Datum izvoza],Tabela_izhod[Klas. št. ],Tabela49[[#This Row],[Klas. št. ]],Tabela_izhod[Opomba],Tabela49[[#This Row],[Opomba]])</f>
        <v>0</v>
      </c>
    </row>
    <row r="11" spans="1:7" s="2" customFormat="1" ht="30" customHeight="1" x14ac:dyDescent="0.25">
      <c r="A11" s="71" t="s">
        <v>101</v>
      </c>
      <c r="B11" s="63" t="str">
        <f>INDEX(Seznam_klasifikacij[Naziv],MATCH(Tabela49[[#This Row],[Klas. št. ]],Seznam_klasifikacij[Klasifikacija],0))</f>
        <v>Druge kisline</v>
      </c>
      <c r="C11" s="89" t="s">
        <v>182</v>
      </c>
      <c r="D11" s="65">
        <f>SUMIFS(Tabela_vhod[Teža (kg)],Tabela_vhod[Klas. št. ],Tabela49[[#This Row],[Klas. št. ]],Tabela_vhod[Opomba],Tabela49[[#This Row],[Opomba]],Tabela_vhod[V skladišču],"DA",Tabela_vhod[Skladišno mesto],"Sklad-7")</f>
        <v>0</v>
      </c>
      <c r="E11" s="65">
        <f>COUNTIFS(Tabela_vhod[V skladišču],"DA",Tabela_vhod[Klas. št. ],Tabela49[[#This Row],[Klas. št. ]],Tabela_vhod[Opomba],Tabela49[[#This Row],[Opomba]],Tabela_vhod[Skladišno mesto],"Sklad-7")</f>
        <v>0</v>
      </c>
      <c r="F11" s="66">
        <f>_xlfn.MAXIFS(Tabela_vhod[Datum sprejema],Tabela_vhod[Klas. št. ],Tabela49[[#This Row],[Klas. št. ]],Tabela_vhod[Opomba],Tabela49[[#This Row],[Opomba]])</f>
        <v>0</v>
      </c>
      <c r="G11" s="66">
        <f>_xlfn.MAXIFS(Tabela_izhod[Datum izvoza],Tabela_izhod[Klas. št. ],Tabela49[[#This Row],[Klas. št. ]],Tabela_izhod[Opomba],Tabela49[[#This Row],[Opomba]])</f>
        <v>0</v>
      </c>
    </row>
    <row r="12" spans="1:7" s="2" customFormat="1" ht="30" customHeight="1" x14ac:dyDescent="0.25">
      <c r="A12" s="71" t="s">
        <v>101</v>
      </c>
      <c r="B12" s="63" t="str">
        <f>INDEX(Seznam_klasifikacij[Naziv],MATCH(Tabela49[[#This Row],[Klas. št. ]],Seznam_klasifikacij[Klasifikacija],0))</f>
        <v>Druge kisline</v>
      </c>
      <c r="C12" s="89" t="s">
        <v>183</v>
      </c>
      <c r="D12" s="65">
        <f>SUMIFS(Tabela_vhod[Teža (kg)],Tabela_vhod[Klas. št. ],Tabela49[[#This Row],[Klas. št. ]],Tabela_vhod[Opomba],Tabela49[[#This Row],[Opomba]],Tabela_vhod[V skladišču],"DA",Tabela_vhod[Skladišno mesto],"Sklad-7")</f>
        <v>0</v>
      </c>
      <c r="E12" s="65">
        <f>COUNTIFS(Tabela_vhod[V skladišču],"DA",Tabela_vhod[Klas. št. ],Tabela49[[#This Row],[Klas. št. ]],Tabela_vhod[Opomba],Tabela49[[#This Row],[Opomba]],Tabela_vhod[Skladišno mesto],"Sklad-7")</f>
        <v>0</v>
      </c>
      <c r="F12" s="66">
        <f>_xlfn.MAXIFS(Tabela_vhod[Datum sprejema],Tabela_vhod[Klas. št. ],Tabela49[[#This Row],[Klas. št. ]],Tabela_vhod[Opomba],Tabela49[[#This Row],[Opomba]])</f>
        <v>0</v>
      </c>
      <c r="G12" s="66">
        <f>_xlfn.MAXIFS(Tabela_izhod[Datum izvoza],Tabela_izhod[Klas. št. ],Tabela49[[#This Row],[Klas. št. ]],Tabela_izhod[Opomba],Tabela49[[#This Row],[Opomba]])</f>
        <v>0</v>
      </c>
    </row>
    <row r="13" spans="1:7" s="2" customFormat="1" ht="30" customHeight="1" x14ac:dyDescent="0.25">
      <c r="A13" s="27" t="s">
        <v>56</v>
      </c>
      <c r="B13" s="28" t="str">
        <f>INDEX(Seznam_klasifikacij[Naziv],MATCH(Tabela49[[#This Row],[Klas. št. ]],Seznam_klasifikacij[Klasifikacija],0))</f>
        <v xml:space="preserve">Trdne soli in raztopine, ki vsebujejo težke kovine </v>
      </c>
      <c r="C13" s="89" t="s">
        <v>53</v>
      </c>
      <c r="D13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13" s="20">
        <f>COUNTIFS(Tabela_vhod[V skladišču],"DA",Tabela_vhod[Klas. št. ],Tabela49[[#This Row],[Klas. št. ]],Tabela_vhod[Opomba],Tabela49[[#This Row],[Opomba]],Tabela_vhod[Skladišno mesto],"Sklad-7")</f>
        <v>0</v>
      </c>
      <c r="F13" s="21">
        <f>_xlfn.MAXIFS(Tabela_vhod[Datum sprejema],Tabela_vhod[Klas. št. ],Tabela49[[#This Row],[Klas. št. ]],Tabela_vhod[Opomba],Tabela49[[#This Row],[Opomba]])</f>
        <v>44039</v>
      </c>
      <c r="G13" s="21">
        <f>_xlfn.MAXIFS(Tabela_izhod[Datum izvoza],Tabela_izhod[Klas. št. ],Tabela49[[#This Row],[Klas. št. ]],Tabela_izhod[Opomba],Tabela49[[#This Row],[Opomba]])</f>
        <v>44053</v>
      </c>
    </row>
    <row r="14" spans="1:7" s="2" customFormat="1" ht="30" customHeight="1" x14ac:dyDescent="0.25">
      <c r="A14" s="27" t="s">
        <v>105</v>
      </c>
      <c r="B14" s="30" t="str">
        <f>INDEX(Seznam_klasifikacij[Naziv],MATCH(Tabela49[[#This Row],[Klas. št. ]],Seznam_klasifikacij[Klasifikacija],0))</f>
        <v>Drugi ostanki iz destilacij in kemijskih reakcij</v>
      </c>
      <c r="C14" s="89" t="s">
        <v>53</v>
      </c>
      <c r="D14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14" s="20">
        <f>COUNTIFS(Tabela_vhod[V skladišču],"DA",Tabela_vhod[Klas. št. ],Tabela49[[#This Row],[Klas. št. ]],Tabela_vhod[Opomba],Tabela49[[#This Row],[Opomba]],Tabela_vhod[Skladišno mesto],"Sklad-7")</f>
        <v>0</v>
      </c>
      <c r="F14" s="21">
        <f>_xlfn.MAXIFS(Tabela_vhod[Datum sprejema],Tabela_vhod[Klas. št. ],Tabela49[[#This Row],[Klas. št. ]],Tabela_vhod[Opomba],Tabela49[[#This Row],[Opomba]])</f>
        <v>0</v>
      </c>
      <c r="G14" s="21">
        <f>_xlfn.MAXIFS(Tabela_izhod[Datum izvoza],Tabela_izhod[Klas. št. ],Tabela49[[#This Row],[Klas. št. ]],Tabela_izhod[Opomba],Tabela49[[#This Row],[Opomba]])</f>
        <v>0</v>
      </c>
    </row>
    <row r="15" spans="1:7" s="2" customFormat="1" ht="30" customHeight="1" x14ac:dyDescent="0.25">
      <c r="A15" s="27" t="s">
        <v>92</v>
      </c>
      <c r="B15" s="30" t="str">
        <f>INDEX(Seznam_klasifikacij[Naziv],MATCH(Tabela49[[#This Row],[Klas. št. ]],Seznam_klasifikacij[Klasifikacija],0))</f>
        <v>Odpadna plastika</v>
      </c>
      <c r="C15" s="89" t="s">
        <v>53</v>
      </c>
      <c r="D15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15" s="20">
        <f>COUNTIFS(Tabela_vhod[V skladišču],"DA",Tabela_vhod[Klas. št. ],Tabela49[[#This Row],[Klas. št. ]],Tabela_vhod[Opomba],Tabela49[[#This Row],[Opomba]],Tabela_vhod[Skladišno mesto],"Sklad-7")</f>
        <v>0</v>
      </c>
      <c r="F15" s="21">
        <f>_xlfn.MAXIFS(Tabela_vhod[Datum sprejema],Tabela_vhod[Klas. št. ],Tabela49[[#This Row],[Klas. št. ]],Tabela_vhod[Opomba],Tabela49[[#This Row],[Opomba]])</f>
        <v>44151</v>
      </c>
      <c r="G15" s="21">
        <f>_xlfn.MAXIFS(Tabela_izhod[Datum izvoza],Tabela_izhod[Klas. št. ],Tabela49[[#This Row],[Klas. št. ]],Tabela_izhod[Opomba],Tabela49[[#This Row],[Opomba]])</f>
        <v>44110</v>
      </c>
    </row>
    <row r="16" spans="1:7" s="2" customFormat="1" ht="30" customHeight="1" x14ac:dyDescent="0.25">
      <c r="A16" s="27" t="s">
        <v>9</v>
      </c>
      <c r="B16" s="30" t="str">
        <f>INDEX(Seznam_klasifikacij[Naziv],MATCH(Tabela49[[#This Row],[Klas. št. ]],Seznam_klasifikacij[Klasifikacija],0))</f>
        <v xml:space="preserve">Odpadni aditivi, ki vsebujejo nevarne snovi </v>
      </c>
      <c r="C16" s="89" t="s">
        <v>46</v>
      </c>
      <c r="D16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16" s="20">
        <f>COUNTIFS(Tabela_vhod[V skladišču],"DA",Tabela_vhod[Klas. št. ],Tabela49[[#This Row],[Klas. št. ]],Tabela_vhod[Opomba],Tabela49[[#This Row],[Opomba]],Tabela_vhod[Skladišno mesto],"Sklad-7")</f>
        <v>0</v>
      </c>
      <c r="F16" s="21">
        <f>_xlfn.MAXIFS(Tabela_vhod[Datum sprejema],Tabela_vhod[Klas. št. ],Tabela49[[#This Row],[Klas. št. ]],Tabela_vhod[Opomba],Tabela49[[#This Row],[Opomba]])</f>
        <v>44039</v>
      </c>
      <c r="G16" s="21">
        <f>_xlfn.MAXIFS(Tabela_izhod[Datum izvoza],Tabela_izhod[Klas. št. ],Tabela49[[#This Row],[Klas. št. ]],Tabela_izhod[Opomba],Tabela49[[#This Row],[Opomba]])</f>
        <v>44075</v>
      </c>
    </row>
    <row r="17" spans="1:7" s="2" customFormat="1" ht="30" customHeight="1" x14ac:dyDescent="0.25">
      <c r="A17" s="27" t="s">
        <v>9</v>
      </c>
      <c r="B17" s="28" t="str">
        <f>INDEX(Seznam_klasifikacij[Naziv],MATCH(Tabela49[[#This Row],[Klas. št. ]],Seznam_klasifikacij[Klasifikacija],0))</f>
        <v xml:space="preserve">Odpadni aditivi, ki vsebujejo nevarne snovi </v>
      </c>
      <c r="C17" s="89" t="s">
        <v>53</v>
      </c>
      <c r="D17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17" s="20">
        <f>COUNTIFS(Tabela_vhod[V skladišču],"DA",Tabela_vhod[Klas. št. ],Tabela49[[#This Row],[Klas. št. ]],Tabela_vhod[Opomba],Tabela49[[#This Row],[Opomba]],Tabela_vhod[Skladišno mesto],"Sklad-7")</f>
        <v>0</v>
      </c>
      <c r="F17" s="21">
        <f>_xlfn.MAXIFS(Tabela_vhod[Datum sprejema],Tabela_vhod[Klas. št. ],Tabela49[[#This Row],[Klas. št. ]],Tabela_vhod[Opomba],Tabela49[[#This Row],[Opomba]])</f>
        <v>0</v>
      </c>
      <c r="G17" s="21">
        <f>_xlfn.MAXIFS(Tabela_izhod[Datum izvoza],Tabela_izhod[Klas. št. ],Tabela49[[#This Row],[Klas. št. ]],Tabela_izhod[Opomba],Tabela49[[#This Row],[Opomba]])</f>
        <v>0</v>
      </c>
    </row>
    <row r="18" spans="1:7" s="2" customFormat="1" ht="30" customHeight="1" x14ac:dyDescent="0.25">
      <c r="A18" s="27" t="s">
        <v>107</v>
      </c>
      <c r="B18" s="30" t="str">
        <f>INDEX(Seznam_klasifikacij[Naziv],MATCH(Tabela49[[#This Row],[Klas. št. ]],Seznam_klasifikacij[Klasifikacija],0))</f>
        <v>Vodne pralne raztopine in matične lužnice</v>
      </c>
      <c r="C18" s="89" t="s">
        <v>53</v>
      </c>
      <c r="D18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18" s="20">
        <f>COUNTIFS(Tabela_vhod[V skladišču],"DA",Tabela_vhod[Klas. št. ],Tabela49[[#This Row],[Klas. št. ]],Tabela_vhod[Opomba],Tabela49[[#This Row],[Opomba]],Tabela_vhod[Skladišno mesto],"Sklad-7")</f>
        <v>0</v>
      </c>
      <c r="F18" s="21">
        <f>_xlfn.MAXIFS(Tabela_vhod[Datum sprejema],Tabela_vhod[Klas. št. ],Tabela49[[#This Row],[Klas. št. ]],Tabela_vhod[Opomba],Tabela49[[#This Row],[Opomba]])</f>
        <v>0</v>
      </c>
      <c r="G18" s="21">
        <f>_xlfn.MAXIFS(Tabela_izhod[Datum izvoza],Tabela_izhod[Klas. št. ],Tabela49[[#This Row],[Klas. št. ]],Tabela_izhod[Opomba],Tabela49[[#This Row],[Opomba]])</f>
        <v>0</v>
      </c>
    </row>
    <row r="19" spans="1:7" s="2" customFormat="1" ht="30" customHeight="1" x14ac:dyDescent="0.25">
      <c r="A19" s="27" t="s">
        <v>109</v>
      </c>
      <c r="B19" s="30" t="str">
        <f>INDEX(Seznam_klasifikacij[Naziv],MATCH(Tabela49[[#This Row],[Klas. št. ]],Seznam_klasifikacij[Klasifikacija],0))</f>
        <v>Druga organska topila, pralne tekočine in matične lužnice</v>
      </c>
      <c r="C19" s="89" t="s">
        <v>53</v>
      </c>
      <c r="D19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19" s="20">
        <f>COUNTIFS(Tabela_vhod[V skladišču],"DA",Tabela_vhod[Klas. št. ],Tabela49[[#This Row],[Klas. št. ]],Tabela_vhod[Opomba],Tabela49[[#This Row],[Opomba]],Tabela_vhod[Skladišno mesto],"Sklad-7")</f>
        <v>0</v>
      </c>
      <c r="F19" s="21">
        <f>_xlfn.MAXIFS(Tabela_vhod[Datum sprejema],Tabela_vhod[Klas. št. ],Tabela49[[#This Row],[Klas. št. ]],Tabela_vhod[Opomba],Tabela49[[#This Row],[Opomba]])</f>
        <v>0</v>
      </c>
      <c r="G19" s="21">
        <f>_xlfn.MAXIFS(Tabela_izhod[Datum izvoza],Tabela_izhod[Klas. št. ],Tabela49[[#This Row],[Klas. št. ]],Tabela_izhod[Opomba],Tabela49[[#This Row],[Opomba]])</f>
        <v>0</v>
      </c>
    </row>
    <row r="20" spans="1:7" s="2" customFormat="1" ht="30" customHeight="1" x14ac:dyDescent="0.25">
      <c r="A20" s="27" t="s">
        <v>24</v>
      </c>
      <c r="B20" s="28" t="str">
        <f>INDEX(Seznam_klasifikacij[Naziv],MATCH(Tabela49[[#This Row],[Klas. št. ]],Seznam_klasifikacij[Klasifikacija],0))</f>
        <v xml:space="preserve">Vodni mulji barv ali lakov, ki vsebujejo organska topila ali druge nevarne snovi </v>
      </c>
      <c r="C20" s="89" t="s">
        <v>53</v>
      </c>
      <c r="D20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20" s="20">
        <f>COUNTIFS(Tabela_vhod[V skladišču],"DA",Tabela_vhod[Klas. št. ],Tabela49[[#This Row],[Klas. št. ]],Tabela_vhod[Opomba],Tabela49[[#This Row],[Opomba]],Tabela_vhod[Skladišno mesto],"Sklad-7")</f>
        <v>0</v>
      </c>
      <c r="F20" s="21">
        <f>_xlfn.MAXIFS(Tabela_vhod[Datum sprejema],Tabela_vhod[Klas. št. ],Tabela49[[#This Row],[Klas. št. ]],Tabela_vhod[Opomba],Tabela49[[#This Row],[Opomba]])</f>
        <v>44039</v>
      </c>
      <c r="G20" s="21">
        <f>_xlfn.MAXIFS(Tabela_izhod[Datum izvoza],Tabela_izhod[Klas. št. ],Tabela49[[#This Row],[Klas. št. ]],Tabela_izhod[Opomba],Tabela49[[#This Row],[Opomba]])</f>
        <v>44049</v>
      </c>
    </row>
    <row r="21" spans="1:7" s="2" customFormat="1" ht="30" customHeight="1" x14ac:dyDescent="0.25">
      <c r="A21" s="27" t="s">
        <v>111</v>
      </c>
      <c r="B21" s="30" t="str">
        <f>INDEX(Seznam_klasifikacij[Naziv],MATCH(Tabela49[[#This Row],[Klas. št. ]],Seznam_klasifikacij[Klasifikacija],0))</f>
        <v>Odpadki iz odstranjevanja barv ali lakov, ki vsebujejo organska topila ali druge nevarne snovi</v>
      </c>
      <c r="C21" s="89" t="s">
        <v>53</v>
      </c>
      <c r="D21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21" s="20">
        <f>COUNTIFS(Tabela_vhod[V skladišču],"DA",Tabela_vhod[Klas. št. ],Tabela49[[#This Row],[Klas. št. ]],Tabela_vhod[Opomba],Tabela49[[#This Row],[Opomba]],Tabela_vhod[Skladišno mesto],"Sklad-7")</f>
        <v>0</v>
      </c>
      <c r="F21" s="21">
        <f>_xlfn.MAXIFS(Tabela_vhod[Datum sprejema],Tabela_vhod[Klas. št. ],Tabela49[[#This Row],[Klas. št. ]],Tabela_vhod[Opomba],Tabela49[[#This Row],[Opomba]])</f>
        <v>0</v>
      </c>
      <c r="G21" s="21">
        <f>_xlfn.MAXIFS(Tabela_izhod[Datum izvoza],Tabela_izhod[Klas. št. ],Tabela49[[#This Row],[Klas. št. ]],Tabela_izhod[Opomba],Tabela49[[#This Row],[Opomba]])</f>
        <v>0</v>
      </c>
    </row>
    <row r="22" spans="1:7" s="2" customFormat="1" ht="30" customHeight="1" x14ac:dyDescent="0.25">
      <c r="A22" s="27" t="s">
        <v>113</v>
      </c>
      <c r="B22" s="30" t="str">
        <f>INDEX(Seznam_klasifikacij[Naziv],MATCH(Tabela49[[#This Row],[Klas. št. ]],Seznam_klasifikacij[Klasifikacija],0))</f>
        <v>Vodne suspenzije, ki vsebujejo barve in lake, ki vsebujejo organska topila ali druge nevarne snovi</v>
      </c>
      <c r="C22" s="89" t="s">
        <v>53</v>
      </c>
      <c r="D22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22" s="20">
        <f>COUNTIFS(Tabela_vhod[V skladišču],"DA",Tabela_vhod[Klas. št. ],Tabela49[[#This Row],[Klas. št. ]],Tabela_vhod[Opomba],Tabela49[[#This Row],[Opomba]],Tabela_vhod[Skladišno mesto],"Sklad-7")</f>
        <v>0</v>
      </c>
      <c r="F22" s="21">
        <f>_xlfn.MAXIFS(Tabela_vhod[Datum sprejema],Tabela_vhod[Klas. št. ],Tabela49[[#This Row],[Klas. št. ]],Tabela_vhod[Opomba],Tabela49[[#This Row],[Opomba]])</f>
        <v>0</v>
      </c>
      <c r="G22" s="21">
        <f>_xlfn.MAXIFS(Tabela_izhod[Datum izvoza],Tabela_izhod[Klas. št. ],Tabela49[[#This Row],[Klas. št. ]],Tabela_izhod[Opomba],Tabela49[[#This Row],[Opomba]])</f>
        <v>0</v>
      </c>
    </row>
    <row r="23" spans="1:7" s="2" customFormat="1" ht="30" customHeight="1" x14ac:dyDescent="0.25">
      <c r="A23" s="27" t="s">
        <v>4</v>
      </c>
      <c r="B23" s="28" t="str">
        <f>INDEX(Seznam_klasifikacij[Naziv],MATCH(Tabela49[[#This Row],[Klas. št. ]],Seznam_klasifikacij[Klasifikacija],0))</f>
        <v xml:space="preserve">Odpadni praškasti premazi </v>
      </c>
      <c r="C23" s="89" t="s">
        <v>53</v>
      </c>
      <c r="D23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23" s="20">
        <f>COUNTIFS(Tabela_vhod[V skladišču],"DA",Tabela_vhod[Klas. št. ],Tabela49[[#This Row],[Klas. št. ]],Tabela_vhod[Opomba],Tabela49[[#This Row],[Opomba]],Tabela_vhod[Skladišno mesto],"Sklad-7")</f>
        <v>0</v>
      </c>
      <c r="F23" s="21">
        <f>_xlfn.MAXIFS(Tabela_vhod[Datum sprejema],Tabela_vhod[Klas. št. ],Tabela49[[#This Row],[Klas. št. ]],Tabela_vhod[Opomba],Tabela49[[#This Row],[Opomba]])</f>
        <v>44137</v>
      </c>
      <c r="G23" s="21">
        <f>_xlfn.MAXIFS(Tabela_izhod[Datum izvoza],Tabela_izhod[Klas. št. ],Tabela49[[#This Row],[Klas. št. ]],Tabela_izhod[Opomba],Tabela49[[#This Row],[Opomba]])</f>
        <v>44110</v>
      </c>
    </row>
    <row r="24" spans="1:7" s="2" customFormat="1" ht="30" customHeight="1" x14ac:dyDescent="0.25">
      <c r="A24" s="27" t="s">
        <v>5</v>
      </c>
      <c r="B24" s="28" t="str">
        <f>INDEX(Seznam_klasifikacij[Naziv],MATCH(Tabela49[[#This Row],[Klas. št. ]],Seznam_klasifikacij[Klasifikacija],0))</f>
        <v xml:space="preserve">Odpadni tiskarski tonerji, ki niso zajeti v 08 03 17 </v>
      </c>
      <c r="C24" s="89" t="s">
        <v>53</v>
      </c>
      <c r="D24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24" s="20">
        <f>COUNTIFS(Tabela_vhod[V skladišču],"DA",Tabela_vhod[Klas. št. ],Tabela49[[#This Row],[Klas. št. ]],Tabela_vhod[Opomba],Tabela49[[#This Row],[Opomba]],Tabela_vhod[Skladišno mesto],"Sklad-7")</f>
        <v>0</v>
      </c>
      <c r="F24" s="21">
        <f>_xlfn.MAXIFS(Tabela_vhod[Datum sprejema],Tabela_vhod[Klas. št. ],Tabela49[[#This Row],[Klas. št. ]],Tabela_vhod[Opomba],Tabela49[[#This Row],[Opomba]])</f>
        <v>44133</v>
      </c>
      <c r="G24" s="21">
        <f>_xlfn.MAXIFS(Tabela_izhod[Datum izvoza],Tabela_izhod[Klas. št. ],Tabela49[[#This Row],[Klas. št. ]],Tabela_izhod[Opomba],Tabela49[[#This Row],[Opomba]])</f>
        <v>44131</v>
      </c>
    </row>
    <row r="25" spans="1:7" s="2" customFormat="1" ht="30" customHeight="1" x14ac:dyDescent="0.25">
      <c r="A25" s="27" t="s">
        <v>31</v>
      </c>
      <c r="B25" s="29" t="str">
        <f>INDEX(Seznam_klasifikacij[Naziv],MATCH(Tabela49[[#This Row],[Klas. št. ]],Seznam_klasifikacij[Klasifikacija],0))</f>
        <v>Odpadna lepila in tesnilne mase, ki niso navedene pod 08 04 09</v>
      </c>
      <c r="C25" s="90" t="s">
        <v>53</v>
      </c>
      <c r="D25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25" s="20">
        <f>COUNTIFS(Tabela_vhod[V skladišču],"DA",Tabela_vhod[Klas. št. ],Tabela49[[#This Row],[Klas. št. ]],Tabela_vhod[Opomba],Tabela49[[#This Row],[Opomba]],Tabela_vhod[Skladišno mesto],"Sklad-7")</f>
        <v>0</v>
      </c>
      <c r="F25" s="21">
        <f>_xlfn.MAXIFS(Tabela_vhod[Datum sprejema],Tabela_vhod[Klas. št. ],Tabela49[[#This Row],[Klas. št. ]],Tabela_vhod[Opomba],Tabela49[[#This Row],[Opomba]])</f>
        <v>0</v>
      </c>
      <c r="G25" s="21">
        <f>_xlfn.MAXIFS(Tabela_izhod[Datum izvoza],Tabela_izhod[Klas. št. ],Tabela49[[#This Row],[Klas. št. ]],Tabela_izhod[Opomba],Tabela49[[#This Row],[Opomba]])</f>
        <v>0</v>
      </c>
    </row>
    <row r="26" spans="1:7" s="2" customFormat="1" ht="30" customHeight="1" x14ac:dyDescent="0.25">
      <c r="A26" s="27" t="s">
        <v>115</v>
      </c>
      <c r="B26" s="72" t="str">
        <f>INDEX(Seznam_klasifikacij[Naziv],MATCH(Tabela49[[#This Row],[Klas. št. ]],Seznam_klasifikacij[Klasifikacija],0))</f>
        <v>Razvijalci in aktivatorji na vodni osnovi</v>
      </c>
      <c r="C26" s="91" t="s">
        <v>53</v>
      </c>
      <c r="D26" s="81">
        <f>SUMIFS(Tabela_vhod[Teža (kg)],Tabela_vhod[Klas. št. ],Tabela49[[#This Row],[Klas. št. ]],Tabela_vhod[Opomba],Tabela49[[#This Row],[Opomba]],Tabela_vhod[V skladišču],"DA",Tabela_vhod[Skladišno mesto],"Sklad-7")</f>
        <v>0</v>
      </c>
      <c r="E26" s="81">
        <f>COUNTIFS(Tabela_vhod[V skladišču],"DA",Tabela_vhod[Klas. št. ],Tabela49[[#This Row],[Klas. št. ]],Tabela_vhod[Opomba],Tabela49[[#This Row],[Opomba]],Tabela_vhod[Skladišno mesto],"Sklad-7")</f>
        <v>0</v>
      </c>
      <c r="F26" s="21">
        <f>_xlfn.MAXIFS(Tabela_vhod[Datum sprejema],Tabela_vhod[Klas. št. ],Tabela49[[#This Row],[Klas. št. ]],Tabela_vhod[Opomba],Tabela49[[#This Row],[Opomba]])</f>
        <v>0</v>
      </c>
      <c r="G26" s="21">
        <f>_xlfn.MAXIFS(Tabela_izhod[Datum izvoza],Tabela_izhod[Klas. št. ],Tabela49[[#This Row],[Klas. št. ]],Tabela_izhod[Opomba],Tabela49[[#This Row],[Opomba]])</f>
        <v>0</v>
      </c>
    </row>
    <row r="27" spans="1:7" s="2" customFormat="1" ht="30" customHeight="1" x14ac:dyDescent="0.25">
      <c r="A27" s="27" t="s">
        <v>117</v>
      </c>
      <c r="B27" s="72" t="str">
        <f>INDEX(Seznam_klasifikacij[Naziv],MATCH(Tabela49[[#This Row],[Klas. št. ]],Seznam_klasifikacij[Klasifikacija],0))</f>
        <v>Razvijalci na vodni osnovi za off-set plošče</v>
      </c>
      <c r="C27" s="91" t="s">
        <v>53</v>
      </c>
      <c r="D27" s="81">
        <f>SUMIFS(Tabela_vhod[Teža (kg)],Tabela_vhod[Klas. št. ],Tabela49[[#This Row],[Klas. št. ]],Tabela_vhod[Opomba],Tabela49[[#This Row],[Opomba]],Tabela_vhod[V skladišču],"DA",Tabela_vhod[Skladišno mesto],"Sklad-7")</f>
        <v>0</v>
      </c>
      <c r="E27" s="81">
        <f>COUNTIFS(Tabela_vhod[V skladišču],"DA",Tabela_vhod[Klas. št. ],Tabela49[[#This Row],[Klas. št. ]],Tabela_vhod[Opomba],Tabela49[[#This Row],[Opomba]],Tabela_vhod[Skladišno mesto],"Sklad-7")</f>
        <v>0</v>
      </c>
      <c r="F27" s="21">
        <f>_xlfn.MAXIFS(Tabela_vhod[Datum sprejema],Tabela_vhod[Klas. št. ],Tabela49[[#This Row],[Klas. št. ]],Tabela_vhod[Opomba],Tabela49[[#This Row],[Opomba]])</f>
        <v>0</v>
      </c>
      <c r="G27" s="21">
        <f>_xlfn.MAXIFS(Tabela_izhod[Datum izvoza],Tabela_izhod[Klas. št. ],Tabela49[[#This Row],[Klas. št. ]],Tabela_izhod[Opomba],Tabela49[[#This Row],[Opomba]])</f>
        <v>0</v>
      </c>
    </row>
    <row r="28" spans="1:7" s="2" customFormat="1" ht="30" customHeight="1" x14ac:dyDescent="0.25">
      <c r="A28" s="27" t="s">
        <v>119</v>
      </c>
      <c r="B28" s="72" t="str">
        <f>INDEX(Seznam_klasifikacij[Naziv],MATCH(Tabela49[[#This Row],[Klas. št. ]],Seznam_klasifikacij[Klasifikacija],0))</f>
        <v>Razvijalci na osnovi topil</v>
      </c>
      <c r="C28" s="91" t="s">
        <v>53</v>
      </c>
      <c r="D28" s="81">
        <f>SUMIFS(Tabela_vhod[Teža (kg)],Tabela_vhod[Klas. št. ],Tabela49[[#This Row],[Klas. št. ]],Tabela_vhod[Opomba],Tabela49[[#This Row],[Opomba]],Tabela_vhod[V skladišču],"DA",Tabela_vhod[Skladišno mesto],"Sklad-7")</f>
        <v>0</v>
      </c>
      <c r="E28" s="81">
        <f>COUNTIFS(Tabela_vhod[V skladišču],"DA",Tabela_vhod[Klas. št. ],Tabela49[[#This Row],[Klas. št. ]],Tabela_vhod[Opomba],Tabela49[[#This Row],[Opomba]],Tabela_vhod[Skladišno mesto],"Sklad-7")</f>
        <v>0</v>
      </c>
      <c r="F28" s="21">
        <f>_xlfn.MAXIFS(Tabela_vhod[Datum sprejema],Tabela_vhod[Klas. št. ],Tabela49[[#This Row],[Klas. št. ]],Tabela_vhod[Opomba],Tabela49[[#This Row],[Opomba]])</f>
        <v>0</v>
      </c>
      <c r="G28" s="21">
        <f>_xlfn.MAXIFS(Tabela_izhod[Datum izvoza],Tabela_izhod[Klas. št. ],Tabela49[[#This Row],[Klas. št. ]],Tabela_izhod[Opomba],Tabela49[[#This Row],[Opomba]])</f>
        <v>0</v>
      </c>
    </row>
    <row r="29" spans="1:7" s="2" customFormat="1" ht="30" customHeight="1" x14ac:dyDescent="0.25">
      <c r="A29" s="27" t="s">
        <v>121</v>
      </c>
      <c r="B29" s="72" t="str">
        <f>INDEX(Seznam_klasifikacij[Naziv],MATCH(Tabela49[[#This Row],[Klas. št. ]],Seznam_klasifikacij[Klasifikacija],0))</f>
        <v>Fiksirne raztopine</v>
      </c>
      <c r="C29" s="91" t="s">
        <v>53</v>
      </c>
      <c r="D29" s="81">
        <f>SUMIFS(Tabela_vhod[Teža (kg)],Tabela_vhod[Klas. št. ],Tabela49[[#This Row],[Klas. št. ]],Tabela_vhod[Opomba],Tabela49[[#This Row],[Opomba]],Tabela_vhod[V skladišču],"DA",Tabela_vhod[Skladišno mesto],"Sklad-7")</f>
        <v>0</v>
      </c>
      <c r="E29" s="81">
        <f>COUNTIFS(Tabela_vhod[V skladišču],"DA",Tabela_vhod[Klas. št. ],Tabela49[[#This Row],[Klas. št. ]],Tabela_vhod[Opomba],Tabela49[[#This Row],[Opomba]],Tabela_vhod[Skladišno mesto],"Sklad-7")</f>
        <v>0</v>
      </c>
      <c r="F29" s="21">
        <f>_xlfn.MAXIFS(Tabela_vhod[Datum sprejema],Tabela_vhod[Klas. št. ],Tabela49[[#This Row],[Klas. št. ]],Tabela_vhod[Opomba],Tabela49[[#This Row],[Opomba]])</f>
        <v>0</v>
      </c>
      <c r="G29" s="21">
        <f>_xlfn.MAXIFS(Tabela_izhod[Datum izvoza],Tabela_izhod[Klas. št. ],Tabela49[[#This Row],[Klas. št. ]],Tabela_izhod[Opomba],Tabela49[[#This Row],[Opomba]])</f>
        <v>0</v>
      </c>
    </row>
    <row r="30" spans="1:7" s="2" customFormat="1" ht="30" customHeight="1" x14ac:dyDescent="0.25">
      <c r="A30" s="27" t="s">
        <v>3</v>
      </c>
      <c r="B30" s="28" t="str">
        <f>INDEX(Seznam_klasifikacij[Naziv],MATCH(Tabela49[[#This Row],[Klas. št. ]],Seznam_klasifikacij[Klasifikacija],0))</f>
        <v xml:space="preserve">Pepel, žlindra in kotlovski prah (razen kotlovskega prahu iz 10 01 04) </v>
      </c>
      <c r="C30" s="89" t="s">
        <v>53</v>
      </c>
      <c r="D30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30" s="20">
        <f>COUNTIFS(Tabela_vhod[V skladišču],"DA",Tabela_vhod[Klas. št. ],Tabela49[[#This Row],[Klas. št. ]],Tabela_vhod[Opomba],Tabela49[[#This Row],[Opomba]],Tabela_vhod[Skladišno mesto],"Sklad-7")</f>
        <v>0</v>
      </c>
      <c r="F30" s="21">
        <f>_xlfn.MAXIFS(Tabela_vhod[Datum sprejema],Tabela_vhod[Klas. št. ],Tabela49[[#This Row],[Klas. št. ]],Tabela_vhod[Opomba],Tabela49[[#This Row],[Opomba]])</f>
        <v>44094</v>
      </c>
      <c r="G30" s="21">
        <f>_xlfn.MAXIFS(Tabela_izhod[Datum izvoza],Tabela_izhod[Klas. št. ],Tabela49[[#This Row],[Klas. št. ]],Tabela_izhod[Opomba],Tabela49[[#This Row],[Opomba]])</f>
        <v>44068</v>
      </c>
    </row>
    <row r="31" spans="1:7" s="2" customFormat="1" ht="30" customHeight="1" x14ac:dyDescent="0.25">
      <c r="A31" s="27" t="s">
        <v>71</v>
      </c>
      <c r="B31" s="30" t="str">
        <f>INDEX(Seznam_klasifikacij[Naziv],MATCH(Tabela49[[#This Row],[Klas. št. ]],Seznam_klasifikacij[Klasifikacija],0))</f>
        <v>Odpadki iz predelave žlindre</v>
      </c>
      <c r="C31" s="89" t="s">
        <v>53</v>
      </c>
      <c r="D31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31" s="20">
        <f>COUNTIFS(Tabela_vhod[V skladišču],"DA",Tabela_vhod[Klas. št. ],Tabela49[[#This Row],[Klas. št. ]],Tabela_vhod[Opomba],Tabela49[[#This Row],[Opomba]],Tabela_vhod[Skladišno mesto],"Sklad-7")</f>
        <v>0</v>
      </c>
      <c r="F31" s="21">
        <f>_xlfn.MAXIFS(Tabela_vhod[Datum sprejema],Tabela_vhod[Klas. št. ],Tabela49[[#This Row],[Klas. št. ]],Tabela_vhod[Opomba],Tabela49[[#This Row],[Opomba]])</f>
        <v>44047</v>
      </c>
      <c r="G31" s="21">
        <f>_xlfn.MAXIFS(Tabela_izhod[Datum izvoza],Tabela_izhod[Klas. št. ],Tabela49[[#This Row],[Klas. št. ]],Tabela_izhod[Opomba],Tabela49[[#This Row],[Opomba]])</f>
        <v>44055</v>
      </c>
    </row>
    <row r="32" spans="1:7" s="2" customFormat="1" ht="30" customHeight="1" x14ac:dyDescent="0.25">
      <c r="A32" s="27" t="s">
        <v>123</v>
      </c>
      <c r="B32" s="30" t="str">
        <f>INDEX(Seznam_klasifikacij[Naziv],MATCH(Tabela49[[#This Row],[Klas. št. ]],Seznam_klasifikacij[Klasifikacija],0))</f>
        <v>Mulji iz fosfatiranja</v>
      </c>
      <c r="C32" s="89" t="s">
        <v>53</v>
      </c>
      <c r="D32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32" s="20">
        <f>COUNTIFS(Tabela_vhod[V skladišču],"DA",Tabela_vhod[Klas. št. ],Tabela49[[#This Row],[Klas. št. ]],Tabela_vhod[Opomba],Tabela49[[#This Row],[Opomba]],Tabela_vhod[Skladišno mesto],"Sklad-7")</f>
        <v>0</v>
      </c>
      <c r="F32" s="21">
        <f>_xlfn.MAXIFS(Tabela_vhod[Datum sprejema],Tabela_vhod[Klas. št. ],Tabela49[[#This Row],[Klas. št. ]],Tabela_vhod[Opomba],Tabela49[[#This Row],[Opomba]])</f>
        <v>0</v>
      </c>
      <c r="G32" s="21">
        <f>_xlfn.MAXIFS(Tabela_izhod[Datum izvoza],Tabela_izhod[Klas. št. ],Tabela49[[#This Row],[Klas. št. ]],Tabela_izhod[Opomba],Tabela49[[#This Row],[Opomba]])</f>
        <v>0</v>
      </c>
    </row>
    <row r="33" spans="1:7" s="2" customFormat="1" ht="30" customHeight="1" x14ac:dyDescent="0.25">
      <c r="A33" s="27" t="s">
        <v>27</v>
      </c>
      <c r="B33" s="30" t="e">
        <f>INDEX(Seznam_klasifikacij[Naziv],MATCH(Tabela49[[#This Row],[Klas. št. ]],Seznam_klasifikacij[Klasifikacija],0))</f>
        <v>#N/A</v>
      </c>
      <c r="C33" s="89" t="s">
        <v>48</v>
      </c>
      <c r="D33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33" s="20">
        <f>COUNTIFS(Tabela_vhod[V skladišču],"DA",Tabela_vhod[Klas. št. ],Tabela49[[#This Row],[Klas. št. ]],Tabela_vhod[Opomba],Tabela49[[#This Row],[Opomba]],Tabela_vhod[Skladišno mesto],"Sklad-7")</f>
        <v>0</v>
      </c>
      <c r="F33" s="21">
        <f>_xlfn.MAXIFS(Tabela_vhod[Datum sprejema],Tabela_vhod[Klas. št. ],Tabela49[[#This Row],[Klas. št. ]],Tabela_vhod[Opomba],Tabela49[[#This Row],[Opomba]])</f>
        <v>44039</v>
      </c>
      <c r="G33" s="21">
        <f>_xlfn.MAXIFS(Tabela_izhod[Datum izvoza],Tabela_izhod[Klas. št. ],Tabela49[[#This Row],[Klas. št. ]],Tabela_izhod[Opomba],Tabela49[[#This Row],[Opomba]])</f>
        <v>44049</v>
      </c>
    </row>
    <row r="34" spans="1:7" s="2" customFormat="1" ht="30" customHeight="1" x14ac:dyDescent="0.25">
      <c r="A34" s="27" t="s">
        <v>27</v>
      </c>
      <c r="B34" s="28" t="e">
        <f>INDEX(Seznam_klasifikacij[Naziv],MATCH(Tabela49[[#This Row],[Klas. št. ]],Seznam_klasifikacij[Klasifikacija],0))</f>
        <v>#N/A</v>
      </c>
      <c r="C34" s="89" t="s">
        <v>53</v>
      </c>
      <c r="D34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34" s="20">
        <f>COUNTIFS(Tabela_vhod[V skladišču],"DA",Tabela_vhod[Klas. št. ],Tabela49[[#This Row],[Klas. št. ]],Tabela_vhod[Opomba],Tabela49[[#This Row],[Opomba]],Tabela_vhod[Skladišno mesto],"Sklad-7")</f>
        <v>0</v>
      </c>
      <c r="F34" s="21">
        <f>_xlfn.MAXIFS(Tabela_vhod[Datum sprejema],Tabela_vhod[Klas. št. ],Tabela49[[#This Row],[Klas. št. ]],Tabela_vhod[Opomba],Tabela49[[#This Row],[Opomba]])</f>
        <v>0</v>
      </c>
      <c r="G34" s="21">
        <f>_xlfn.MAXIFS(Tabela_izhod[Datum izvoza],Tabela_izhod[Klas. št. ],Tabela49[[#This Row],[Klas. št. ]],Tabela_izhod[Opomba],Tabela49[[#This Row],[Opomba]])</f>
        <v>0</v>
      </c>
    </row>
    <row r="35" spans="1:7" s="2" customFormat="1" ht="30" customHeight="1" x14ac:dyDescent="0.25">
      <c r="A35" s="27" t="s">
        <v>127</v>
      </c>
      <c r="B35" s="30" t="str">
        <f>INDEX(Seznam_klasifikacij[Naziv],MATCH(Tabela49[[#This Row],[Klas. št. ]],Seznam_klasifikacij[Klasifikacija],0))</f>
        <v>Tekočine za izpiranje na vodni osnovi, ki vsebujejo nevarne snovi</v>
      </c>
      <c r="C35" s="89" t="s">
        <v>53</v>
      </c>
      <c r="D35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35" s="20">
        <f>COUNTIFS(Tabela_vhod[V skladišču],"DA",Tabela_vhod[Klas. št. ],Tabela49[[#This Row],[Klas. št. ]],Tabela_vhod[Opomba],Tabela49[[#This Row],[Opomba]],Tabela_vhod[Skladišno mesto],"Sklad-7")</f>
        <v>0</v>
      </c>
      <c r="F35" s="21">
        <f>_xlfn.MAXIFS(Tabela_vhod[Datum sprejema],Tabela_vhod[Klas. št. ],Tabela49[[#This Row],[Klas. št. ]],Tabela_vhod[Opomba],Tabela49[[#This Row],[Opomba]])</f>
        <v>44094</v>
      </c>
      <c r="G35" s="21">
        <f>_xlfn.MAXIFS(Tabela_izhod[Datum izvoza],Tabela_izhod[Klas. št. ],Tabela49[[#This Row],[Klas. št. ]],Tabela_izhod[Opomba],Tabela49[[#This Row],[Opomba]])</f>
        <v>44110</v>
      </c>
    </row>
    <row r="36" spans="1:7" s="2" customFormat="1" ht="30" customHeight="1" x14ac:dyDescent="0.25">
      <c r="A36" s="27" t="s">
        <v>129</v>
      </c>
      <c r="B36" s="30" t="str">
        <f>INDEX(Seznam_klasifikacij[Naziv],MATCH(Tabela49[[#This Row],[Klas. št. ]],Seznam_klasifikacij[Klasifikacija],0))</f>
        <v>Odpadki iz razmaščevanja, ki vsebujejo nevarne snovi</v>
      </c>
      <c r="C36" s="89" t="s">
        <v>53</v>
      </c>
      <c r="D36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36" s="20">
        <f>COUNTIFS(Tabela_vhod[V skladišču],"DA",Tabela_vhod[Klas. št. ],Tabela49[[#This Row],[Klas. št. ]],Tabela_vhod[Opomba],Tabela49[[#This Row],[Opomba]],Tabela_vhod[Skladišno mesto],"Sklad-7")</f>
        <v>0</v>
      </c>
      <c r="F36" s="21">
        <f>_xlfn.MAXIFS(Tabela_vhod[Datum sprejema],Tabela_vhod[Klas. št. ],Tabela49[[#This Row],[Klas. št. ]],Tabela_vhod[Opomba],Tabela49[[#This Row],[Opomba]])</f>
        <v>0</v>
      </c>
      <c r="G36" s="21">
        <f>_xlfn.MAXIFS(Tabela_izhod[Datum izvoza],Tabela_izhod[Klas. št. ],Tabela49[[#This Row],[Klas. št. ]],Tabela_izhod[Opomba],Tabela49[[#This Row],[Opomba]])</f>
        <v>0</v>
      </c>
    </row>
    <row r="37" spans="1:7" s="2" customFormat="1" ht="30" customHeight="1" x14ac:dyDescent="0.25">
      <c r="A37" s="27" t="s">
        <v>60</v>
      </c>
      <c r="B37" s="30" t="str">
        <f>INDEX(Seznam_klasifikacij[Naziv],MATCH(Tabela49[[#This Row],[Klas. št. ]],Seznam_klasifikacij[Klasifikacija],0))</f>
        <v xml:space="preserve">Prah in delci železa </v>
      </c>
      <c r="C37" s="89" t="s">
        <v>53</v>
      </c>
      <c r="D37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37" s="20">
        <f>COUNTIFS(Tabela_vhod[V skladišču],"DA",Tabela_vhod[Klas. št. ],Tabela49[[#This Row],[Klas. št. ]],Tabela_vhod[Opomba],Tabela49[[#This Row],[Opomba]],Tabela_vhod[Skladišno mesto],"Sklad-7")</f>
        <v>0</v>
      </c>
      <c r="F37" s="21">
        <f>_xlfn.MAXIFS(Tabela_vhod[Datum sprejema],Tabela_vhod[Klas. št. ],Tabela49[[#This Row],[Klas. št. ]],Tabela_vhod[Opomba],Tabela49[[#This Row],[Opomba]])</f>
        <v>44151</v>
      </c>
      <c r="G37" s="21">
        <f>_xlfn.MAXIFS(Tabela_izhod[Datum izvoza],Tabela_izhod[Klas. št. ],Tabela49[[#This Row],[Klas. št. ]],Tabela_izhod[Opomba],Tabela49[[#This Row],[Opomba]])</f>
        <v>44124</v>
      </c>
    </row>
    <row r="38" spans="1:7" s="2" customFormat="1" ht="30" customHeight="1" x14ac:dyDescent="0.25">
      <c r="A38" s="27" t="s">
        <v>0</v>
      </c>
      <c r="B38" s="28" t="str">
        <f>INDEX(Seznam_klasifikacij[Naziv],MATCH(Tabela49[[#This Row],[Klas. št. ]],Seznam_klasifikacij[Klasifikacija],0))</f>
        <v xml:space="preserve">Delci plastike </v>
      </c>
      <c r="C38" s="89" t="s">
        <v>53</v>
      </c>
      <c r="D38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38" s="20">
        <f>COUNTIFS(Tabela_vhod[V skladišču],"DA",Tabela_vhod[Klas. št. ],Tabela49[[#This Row],[Klas. št. ]],Tabela_vhod[Opomba],Tabela49[[#This Row],[Opomba]],Tabela_vhod[Skladišno mesto],"Sklad-7")</f>
        <v>0</v>
      </c>
      <c r="F38" s="21">
        <f>_xlfn.MAXIFS(Tabela_vhod[Datum sprejema],Tabela_vhod[Klas. št. ],Tabela49[[#This Row],[Klas. št. ]],Tabela_vhod[Opomba],Tabela49[[#This Row],[Opomba]])</f>
        <v>44151</v>
      </c>
      <c r="G38" s="21">
        <f>_xlfn.MAXIFS(Tabela_izhod[Datum izvoza],Tabela_izhod[Klas. št. ],Tabela49[[#This Row],[Klas. št. ]],Tabela_izhod[Opomba],Tabela49[[#This Row],[Opomba]])</f>
        <v>44145</v>
      </c>
    </row>
    <row r="39" spans="1:7" s="2" customFormat="1" ht="30" customHeight="1" x14ac:dyDescent="0.25">
      <c r="A39" s="27" t="s">
        <v>0</v>
      </c>
      <c r="B39" s="28" t="str">
        <f>INDEX(Seznam_klasifikacij[Naziv],MATCH(Tabela49[[#This Row],[Klas. št. ]],Seznam_klasifikacij[Klasifikacija],0))</f>
        <v xml:space="preserve">Delci plastike </v>
      </c>
      <c r="C39" s="89" t="s">
        <v>41</v>
      </c>
      <c r="D39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39" s="20">
        <f>COUNTIFS(Tabela_vhod[V skladišču],"DA",Tabela_vhod[Klas. št. ],Tabela49[[#This Row],[Klas. št. ]],Tabela_vhod[Opomba],Tabela49[[#This Row],[Opomba]],Tabela_vhod[Skladišno mesto],"Sklad-7")</f>
        <v>0</v>
      </c>
      <c r="F39" s="21">
        <f>_xlfn.MAXIFS(Tabela_vhod[Datum sprejema],Tabela_vhod[Klas. št. ],Tabela49[[#This Row],[Klas. št. ]],Tabela_vhod[Opomba],Tabela49[[#This Row],[Opomba]])</f>
        <v>44146</v>
      </c>
      <c r="G39" s="21">
        <f>_xlfn.MAXIFS(Tabela_izhod[Datum izvoza],Tabela_izhod[Klas. št. ],Tabela49[[#This Row],[Klas. št. ]],Tabela_izhod[Opomba],Tabela49[[#This Row],[Opomba]])</f>
        <v>44145</v>
      </c>
    </row>
    <row r="40" spans="1:7" s="2" customFormat="1" ht="30" customHeight="1" x14ac:dyDescent="0.25">
      <c r="A40" s="27" t="s">
        <v>131</v>
      </c>
      <c r="B40" s="30" t="str">
        <f>INDEX(Seznam_klasifikacij[Naziv],MATCH(Tabela49[[#This Row],[Klas. št. ]],Seznam_klasifikacij[Klasifikacija],0))</f>
        <v>Mineralna strojna olja, ki ne vsebujejo halogenov (razen emulzij in raztopin)</v>
      </c>
      <c r="C40" s="89" t="s">
        <v>53</v>
      </c>
      <c r="D40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40" s="20">
        <f>COUNTIFS(Tabela_vhod[V skladišču],"DA",Tabela_vhod[Klas. št. ],Tabela49[[#This Row],[Klas. št. ]],Tabela_vhod[Opomba],Tabela49[[#This Row],[Opomba]],Tabela_vhod[Skladišno mesto],"Sklad-7")</f>
        <v>0</v>
      </c>
      <c r="F40" s="21">
        <f>_xlfn.MAXIFS(Tabela_vhod[Datum sprejema],Tabela_vhod[Klas. št. ],Tabela49[[#This Row],[Klas. št. ]],Tabela_vhod[Opomba],Tabela49[[#This Row],[Opomba]])</f>
        <v>0</v>
      </c>
      <c r="G40" s="21">
        <f>_xlfn.MAXIFS(Tabela_izhod[Datum izvoza],Tabela_izhod[Klas. št. ],Tabela49[[#This Row],[Klas. št. ]],Tabela_izhod[Opomba],Tabela49[[#This Row],[Opomba]])</f>
        <v>0</v>
      </c>
    </row>
    <row r="41" spans="1:7" s="2" customFormat="1" ht="30" customHeight="1" x14ac:dyDescent="0.25">
      <c r="A41" s="27" t="s">
        <v>18</v>
      </c>
      <c r="B41" s="28" t="str">
        <f>INDEX(Seznam_klasifikacij[Naziv],MATCH(Tabela49[[#This Row],[Klas. št. ]],Seznam_klasifikacij[Klasifikacija],0))</f>
        <v>Strojni mulji, ki niso navedeni pod 12 01 14</v>
      </c>
      <c r="C41" s="89" t="s">
        <v>53</v>
      </c>
      <c r="D41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41" s="20">
        <f>COUNTIFS(Tabela_vhod[V skladišču],"DA",Tabela_vhod[Klas. št. ],Tabela49[[#This Row],[Klas. št. ]],Tabela_vhod[Opomba],Tabela49[[#This Row],[Opomba]],Tabela_vhod[Skladišno mesto],"Sklad-7")</f>
        <v>0</v>
      </c>
      <c r="F41" s="21">
        <f>_xlfn.MAXIFS(Tabela_vhod[Datum sprejema],Tabela_vhod[Klas. št. ],Tabela49[[#This Row],[Klas. št. ]],Tabela_vhod[Opomba],Tabela49[[#This Row],[Opomba]])</f>
        <v>44093</v>
      </c>
      <c r="G41" s="21">
        <f>_xlfn.MAXIFS(Tabela_izhod[Datum izvoza],Tabela_izhod[Klas. št. ],Tabela49[[#This Row],[Klas. št. ]],Tabela_izhod[Opomba],Tabela49[[#This Row],[Opomba]])</f>
        <v>44110</v>
      </c>
    </row>
    <row r="42" spans="1:7" s="2" customFormat="1" ht="30" customHeight="1" x14ac:dyDescent="0.25">
      <c r="A42" s="27" t="s">
        <v>26</v>
      </c>
      <c r="B42" s="30" t="str">
        <f>INDEX(Seznam_klasifikacij[Naziv],MATCH(Tabela49[[#This Row],[Klas. št. ]],Seznam_klasifikacij[Klasifikacija],0))</f>
        <v xml:space="preserve">Odpadki, ki nastanejo pri peskanju in vsebujejo nevarne snovi </v>
      </c>
      <c r="C42" s="89" t="s">
        <v>47</v>
      </c>
      <c r="D42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42" s="20">
        <f>COUNTIFS(Tabela_vhod[V skladišču],"DA",Tabela_vhod[Klas. št. ],Tabela49[[#This Row],[Klas. št. ]],Tabela_vhod[Opomba],Tabela49[[#This Row],[Opomba]],Tabela_vhod[Skladišno mesto],"Sklad-7")</f>
        <v>0</v>
      </c>
      <c r="F42" s="21">
        <f>_xlfn.MAXIFS(Tabela_vhod[Datum sprejema],Tabela_vhod[Klas. št. ],Tabela49[[#This Row],[Klas. št. ]],Tabela_vhod[Opomba],Tabela49[[#This Row],[Opomba]])</f>
        <v>44039</v>
      </c>
      <c r="G42" s="21">
        <f>_xlfn.MAXIFS(Tabela_izhod[Datum izvoza],Tabela_izhod[Klas. št. ],Tabela49[[#This Row],[Klas. št. ]],Tabela_izhod[Opomba],Tabela49[[#This Row],[Opomba]])</f>
        <v>44068</v>
      </c>
    </row>
    <row r="43" spans="1:7" s="2" customFormat="1" ht="30" customHeight="1" x14ac:dyDescent="0.25">
      <c r="A43" s="27" t="s">
        <v>26</v>
      </c>
      <c r="B43" s="28" t="str">
        <f>INDEX(Seznam_klasifikacij[Naziv],MATCH(Tabela49[[#This Row],[Klas. št. ]],Seznam_klasifikacij[Klasifikacija],0))</f>
        <v xml:space="preserve">Odpadki, ki nastanejo pri peskanju in vsebujejo nevarne snovi </v>
      </c>
      <c r="C43" s="89" t="s">
        <v>53</v>
      </c>
      <c r="D43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43" s="20">
        <f>COUNTIFS(Tabela_vhod[V skladišču],"DA",Tabela_vhod[Klas. št. ],Tabela49[[#This Row],[Klas. št. ]],Tabela_vhod[Opomba],Tabela49[[#This Row],[Opomba]],Tabela_vhod[Skladišno mesto],"Sklad-7")</f>
        <v>0</v>
      </c>
      <c r="F43" s="21">
        <f>_xlfn.MAXIFS(Tabela_vhod[Datum sprejema],Tabela_vhod[Klas. št. ],Tabela49[[#This Row],[Klas. št. ]],Tabela_vhod[Opomba],Tabela49[[#This Row],[Opomba]])</f>
        <v>44136</v>
      </c>
      <c r="G43" s="21">
        <f>_xlfn.MAXIFS(Tabela_izhod[Datum izvoza],Tabela_izhod[Klas. št. ],Tabela49[[#This Row],[Klas. št. ]],Tabela_izhod[Opomba],Tabela49[[#This Row],[Opomba]])</f>
        <v>44110</v>
      </c>
    </row>
    <row r="44" spans="1:7" s="2" customFormat="1" ht="30" customHeight="1" x14ac:dyDescent="0.25">
      <c r="A44" s="27" t="s">
        <v>2</v>
      </c>
      <c r="B44" s="30" t="str">
        <f>INDEX(Seznam_klasifikacij[Naziv],MATCH(Tabela49[[#This Row],[Klas. št. ]],Seznam_klasifikacij[Klasifikacija],0))</f>
        <v xml:space="preserve">Odpadki, ki nastanejo pri peskanju in niso zajeti v 12 01 16 </v>
      </c>
      <c r="C44" s="89" t="s">
        <v>47</v>
      </c>
      <c r="D44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44" s="20">
        <f>COUNTIFS(Tabela_vhod[V skladišču],"DA",Tabela_vhod[Klas. št. ],Tabela49[[#This Row],[Klas. št. ]],Tabela_vhod[Opomba],Tabela49[[#This Row],[Opomba]],Tabela_vhod[Skladišno mesto],"Sklad-7")</f>
        <v>0</v>
      </c>
      <c r="F44" s="21">
        <f>_xlfn.MAXIFS(Tabela_vhod[Datum sprejema],Tabela_vhod[Klas. št. ],Tabela49[[#This Row],[Klas. št. ]],Tabela_vhod[Opomba],Tabela49[[#This Row],[Opomba]])</f>
        <v>44076</v>
      </c>
      <c r="G44" s="21">
        <f>_xlfn.MAXIFS(Tabela_izhod[Datum izvoza],Tabela_izhod[Klas. št. ],Tabela49[[#This Row],[Klas. št. ]],Tabela_izhod[Opomba],Tabela49[[#This Row],[Opomba]])</f>
        <v>44068</v>
      </c>
    </row>
    <row r="45" spans="1:7" s="2" customFormat="1" ht="30" customHeight="1" x14ac:dyDescent="0.25">
      <c r="A45" s="27" t="s">
        <v>2</v>
      </c>
      <c r="B45" s="28" t="str">
        <f>INDEX(Seznam_klasifikacij[Naziv],MATCH(Tabela49[[#This Row],[Klas. št. ]],Seznam_klasifikacij[Klasifikacija],0))</f>
        <v xml:space="preserve">Odpadki, ki nastanejo pri peskanju in niso zajeti v 12 01 16 </v>
      </c>
      <c r="C45" s="89" t="s">
        <v>53</v>
      </c>
      <c r="D45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45" s="20">
        <f>COUNTIFS(Tabela_vhod[V skladišču],"DA",Tabela_vhod[Klas. št. ],Tabela49[[#This Row],[Klas. št. ]],Tabela_vhod[Opomba],Tabela49[[#This Row],[Opomba]],Tabela_vhod[Skladišno mesto],"Sklad-7")</f>
        <v>0</v>
      </c>
      <c r="F45" s="21">
        <f>_xlfn.MAXIFS(Tabela_vhod[Datum sprejema],Tabela_vhod[Klas. št. ],Tabela49[[#This Row],[Klas. št. ]],Tabela_vhod[Opomba],Tabela49[[#This Row],[Opomba]])</f>
        <v>44136</v>
      </c>
      <c r="G45" s="21">
        <f>_xlfn.MAXIFS(Tabela_izhod[Datum izvoza],Tabela_izhod[Klas. št. ],Tabela49[[#This Row],[Klas. št. ]],Tabela_izhod[Opomba],Tabela49[[#This Row],[Opomba]])</f>
        <v>44110</v>
      </c>
    </row>
    <row r="46" spans="1:7" s="2" customFormat="1" ht="30" customHeight="1" x14ac:dyDescent="0.25">
      <c r="A46" s="27" t="s">
        <v>58</v>
      </c>
      <c r="B46" s="30" t="str">
        <f>INDEX(Seznam_klasifikacij[Naziv],MATCH(Tabela49[[#This Row],[Klas. št. ]],Seznam_klasifikacij[Klasifikacija],0))</f>
        <v>Izrabljena brusilna telesa in brusilni materiali, ki niso navedeni pod 12 01 20</v>
      </c>
      <c r="C46" s="89" t="s">
        <v>53</v>
      </c>
      <c r="D46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46" s="20">
        <f>COUNTIFS(Tabela_vhod[V skladišču],"DA",Tabela_vhod[Klas. št. ],Tabela49[[#This Row],[Klas. št. ]],Tabela_vhod[Opomba],Tabela49[[#This Row],[Opomba]],Tabela_vhod[Skladišno mesto],"Sklad-7")</f>
        <v>0</v>
      </c>
      <c r="F46" s="21">
        <f>_xlfn.MAXIFS(Tabela_vhod[Datum sprejema],Tabela_vhod[Klas. št. ],Tabela49[[#This Row],[Klas. št. ]],Tabela_vhod[Opomba],Tabela49[[#This Row],[Opomba]])</f>
        <v>44094</v>
      </c>
      <c r="G46" s="21">
        <f>_xlfn.MAXIFS(Tabela_izhod[Datum izvoza],Tabela_izhod[Klas. št. ],Tabela49[[#This Row],[Klas. št. ]],Tabela_izhod[Opomba],Tabela49[[#This Row],[Opomba]])</f>
        <v>44133</v>
      </c>
    </row>
    <row r="47" spans="1:7" s="2" customFormat="1" ht="30" customHeight="1" x14ac:dyDescent="0.25">
      <c r="A47" s="27" t="s">
        <v>133</v>
      </c>
      <c r="B47" s="30" t="str">
        <f>INDEX(Seznam_klasifikacij[Naziv],MATCH(Tabela49[[#This Row],[Klas. št. ]],Seznam_klasifikacij[Klasifikacija],0))</f>
        <v>Mineralna neklorirana motorna olja, olja prestavnih mehanizmov in mazalna olja</v>
      </c>
      <c r="C47" s="89" t="s">
        <v>53</v>
      </c>
      <c r="D47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47" s="20">
        <f>COUNTIFS(Tabela_vhod[V skladišču],"DA",Tabela_vhod[Klas. št. ],Tabela49[[#This Row],[Klas. št. ]],Tabela_vhod[Opomba],Tabela49[[#This Row],[Opomba]],Tabela_vhod[Skladišno mesto],"Sklad-7")</f>
        <v>0</v>
      </c>
      <c r="F47" s="21">
        <f>_xlfn.MAXIFS(Tabela_vhod[Datum sprejema],Tabela_vhod[Klas. št. ],Tabela49[[#This Row],[Klas. št. ]],Tabela_vhod[Opomba],Tabela49[[#This Row],[Opomba]])</f>
        <v>0</v>
      </c>
      <c r="G47" s="21">
        <f>_xlfn.MAXIFS(Tabela_izhod[Datum izvoza],Tabela_izhod[Klas. št. ],Tabela49[[#This Row],[Klas. št. ]],Tabela_izhod[Opomba],Tabela49[[#This Row],[Opomba]])</f>
        <v>0</v>
      </c>
    </row>
    <row r="48" spans="1:7" s="2" customFormat="1" ht="30" customHeight="1" x14ac:dyDescent="0.25">
      <c r="A48" s="27" t="s">
        <v>135</v>
      </c>
      <c r="B48" s="30" t="str">
        <f>INDEX(Seznam_klasifikacij[Naziv],MATCH(Tabela49[[#This Row],[Klas. št. ]],Seznam_klasifikacij[Klasifikacija],0))</f>
        <v>Mulji iz naprav za ločevanje olja in vode</v>
      </c>
      <c r="C48" s="89" t="s">
        <v>53</v>
      </c>
      <c r="D48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48" s="20">
        <f>COUNTIFS(Tabela_vhod[V skladišču],"DA",Tabela_vhod[Klas. št. ],Tabela49[[#This Row],[Klas. št. ]],Tabela_vhod[Opomba],Tabela49[[#This Row],[Opomba]],Tabela_vhod[Skladišno mesto],"Sklad-7")</f>
        <v>0</v>
      </c>
      <c r="F48" s="21">
        <f>_xlfn.MAXIFS(Tabela_vhod[Datum sprejema],Tabela_vhod[Klas. št. ],Tabela49[[#This Row],[Klas. št. ]],Tabela_vhod[Opomba],Tabela49[[#This Row],[Opomba]])</f>
        <v>0</v>
      </c>
      <c r="G48" s="21">
        <f>_xlfn.MAXIFS(Tabela_izhod[Datum izvoza],Tabela_izhod[Klas. št. ],Tabela49[[#This Row],[Klas. št. ]],Tabela_izhod[Opomba],Tabela49[[#This Row],[Opomba]])</f>
        <v>0</v>
      </c>
    </row>
    <row r="49" spans="1:7" s="2" customFormat="1" ht="30" customHeight="1" x14ac:dyDescent="0.25">
      <c r="A49" s="27" t="s">
        <v>137</v>
      </c>
      <c r="B49" s="30" t="str">
        <f>INDEX(Seznam_klasifikacij[Naziv],MATCH(Tabela49[[#This Row],[Klas. št. ]],Seznam_klasifikacij[Klasifikacija],0))</f>
        <v>Z oljem onesnažena voda iz naprav za ločevanje olja in vode</v>
      </c>
      <c r="C49" s="89" t="s">
        <v>53</v>
      </c>
      <c r="D49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49" s="20">
        <f>COUNTIFS(Tabela_vhod[V skladišču],"DA",Tabela_vhod[Klas. št. ],Tabela49[[#This Row],[Klas. št. ]],Tabela_vhod[Opomba],Tabela49[[#This Row],[Opomba]],Tabela_vhod[Skladišno mesto],"Sklad-7")</f>
        <v>0</v>
      </c>
      <c r="F49" s="21">
        <f>_xlfn.MAXIFS(Tabela_vhod[Datum sprejema],Tabela_vhod[Klas. št. ],Tabela49[[#This Row],[Klas. št. ]],Tabela_vhod[Opomba],Tabela49[[#This Row],[Opomba]])</f>
        <v>0</v>
      </c>
      <c r="G49" s="21">
        <f>_xlfn.MAXIFS(Tabela_izhod[Datum izvoza],Tabela_izhod[Klas. št. ],Tabela49[[#This Row],[Klas. št. ]],Tabela_izhod[Opomba],Tabela49[[#This Row],[Opomba]])</f>
        <v>0</v>
      </c>
    </row>
    <row r="50" spans="1:7" s="2" customFormat="1" ht="30" customHeight="1" x14ac:dyDescent="0.25">
      <c r="A50" s="27" t="s">
        <v>139</v>
      </c>
      <c r="B50" s="30" t="str">
        <f>INDEX(Seznam_klasifikacij[Naziv],MATCH(Tabela49[[#This Row],[Klas. št. ]],Seznam_klasifikacij[Klasifikacija],0))</f>
        <v>Kurilno olje in dizel</v>
      </c>
      <c r="C50" s="89" t="s">
        <v>53</v>
      </c>
      <c r="D50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50" s="20">
        <f>COUNTIFS(Tabela_vhod[V skladišču],"DA",Tabela_vhod[Klas. št. ],Tabela49[[#This Row],[Klas. št. ]],Tabela_vhod[Opomba],Tabela49[[#This Row],[Opomba]],Tabela_vhod[Skladišno mesto],"Sklad-7")</f>
        <v>0</v>
      </c>
      <c r="F50" s="21">
        <f>_xlfn.MAXIFS(Tabela_vhod[Datum sprejema],Tabela_vhod[Klas. št. ],Tabela49[[#This Row],[Klas. št. ]],Tabela_vhod[Opomba],Tabela49[[#This Row],[Opomba]])</f>
        <v>0</v>
      </c>
      <c r="G50" s="21">
        <f>_xlfn.MAXIFS(Tabela_izhod[Datum izvoza],Tabela_izhod[Klas. št. ],Tabela49[[#This Row],[Klas. št. ]],Tabela_izhod[Opomba],Tabela49[[#This Row],[Opomba]])</f>
        <v>0</v>
      </c>
    </row>
    <row r="51" spans="1:7" s="2" customFormat="1" ht="30" customHeight="1" x14ac:dyDescent="0.25">
      <c r="A51" s="27" t="s">
        <v>141</v>
      </c>
      <c r="B51" s="30" t="str">
        <f>INDEX(Seznam_klasifikacij[Naziv],MATCH(Tabela49[[#This Row],[Klas. št. ]],Seznam_klasifikacij[Klasifikacija],0))</f>
        <v>Bencin</v>
      </c>
      <c r="C51" s="89" t="s">
        <v>53</v>
      </c>
      <c r="D51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51" s="20">
        <f>COUNTIFS(Tabela_vhod[V skladišču],"DA",Tabela_vhod[Klas. št. ],Tabela49[[#This Row],[Klas. št. ]],Tabela_vhod[Opomba],Tabela49[[#This Row],[Opomba]],Tabela_vhod[Skladišno mesto],"Sklad-7")</f>
        <v>0</v>
      </c>
      <c r="F51" s="21">
        <f>_xlfn.MAXIFS(Tabela_vhod[Datum sprejema],Tabela_vhod[Klas. št. ],Tabela49[[#This Row],[Klas. št. ]],Tabela_vhod[Opomba],Tabela49[[#This Row],[Opomba]])</f>
        <v>0</v>
      </c>
      <c r="G51" s="21">
        <f>_xlfn.MAXIFS(Tabela_izhod[Datum izvoza],Tabela_izhod[Klas. št. ],Tabela49[[#This Row],[Klas. št. ]],Tabela_izhod[Opomba],Tabela49[[#This Row],[Opomba]])</f>
        <v>0</v>
      </c>
    </row>
    <row r="52" spans="1:7" s="2" customFormat="1" ht="30" customHeight="1" x14ac:dyDescent="0.25">
      <c r="A52" s="27" t="s">
        <v>143</v>
      </c>
      <c r="B52" s="30" t="str">
        <f>INDEX(Seznam_klasifikacij[Naziv],MATCH(Tabela49[[#This Row],[Klas. št. ]],Seznam_klasifikacij[Klasifikacija],0))</f>
        <v>Druga goriva, tudi mešanice</v>
      </c>
      <c r="C52" s="89" t="s">
        <v>53</v>
      </c>
      <c r="D52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52" s="20">
        <f>COUNTIFS(Tabela_vhod[V skladišču],"DA",Tabela_vhod[Klas. št. ],Tabela49[[#This Row],[Klas. št. ]],Tabela_vhod[Opomba],Tabela49[[#This Row],[Opomba]],Tabela_vhod[Skladišno mesto],"Sklad-7")</f>
        <v>0</v>
      </c>
      <c r="F52" s="21">
        <f>_xlfn.MAXIFS(Tabela_vhod[Datum sprejema],Tabela_vhod[Klas. št. ],Tabela49[[#This Row],[Klas. št. ]],Tabela_vhod[Opomba],Tabela49[[#This Row],[Opomba]])</f>
        <v>0</v>
      </c>
      <c r="G52" s="21">
        <f>_xlfn.MAXIFS(Tabela_izhod[Datum izvoza],Tabela_izhod[Klas. št. ],Tabela49[[#This Row],[Klas. št. ]],Tabela_izhod[Opomba],Tabela49[[#This Row],[Opomba]])</f>
        <v>0</v>
      </c>
    </row>
    <row r="53" spans="1:7" s="2" customFormat="1" ht="30" customHeight="1" x14ac:dyDescent="0.25">
      <c r="A53" s="27" t="s">
        <v>145</v>
      </c>
      <c r="B53" s="30" t="str">
        <f>INDEX(Seznam_klasifikacij[Naziv],MATCH(Tabela49[[#This Row],[Klas. št. ]],Seznam_klasifikacij[Klasifikacija],0))</f>
        <v>Druga topila in mešanice topil</v>
      </c>
      <c r="C53" s="89" t="s">
        <v>53</v>
      </c>
      <c r="D53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53" s="20">
        <f>COUNTIFS(Tabela_vhod[V skladišču],"DA",Tabela_vhod[Klas. št. ],Tabela49[[#This Row],[Klas. št. ]],Tabela_vhod[Opomba],Tabela49[[#This Row],[Opomba]],Tabela_vhod[Skladišno mesto],"Sklad-7")</f>
        <v>0</v>
      </c>
      <c r="F53" s="21">
        <f>_xlfn.MAXIFS(Tabela_vhod[Datum sprejema],Tabela_vhod[Klas. št. ],Tabela49[[#This Row],[Klas. št. ]],Tabela_vhod[Opomba],Tabela49[[#This Row],[Opomba]])</f>
        <v>0</v>
      </c>
      <c r="G53" s="21">
        <f>_xlfn.MAXIFS(Tabela_izhod[Datum izvoza],Tabela_izhod[Klas. št. ],Tabela49[[#This Row],[Klas. št. ]],Tabela_izhod[Opomba],Tabela49[[#This Row],[Opomba]])</f>
        <v>0</v>
      </c>
    </row>
    <row r="54" spans="1:7" s="2" customFormat="1" ht="30" customHeight="1" x14ac:dyDescent="0.25">
      <c r="A54" s="27" t="s">
        <v>21</v>
      </c>
      <c r="B54" s="28" t="str">
        <f>INDEX(Seznam_klasifikacij[Naziv],MATCH(Tabela49[[#This Row],[Klas. št. ]],Seznam_klasifikacij[Klasifikacija],0))</f>
        <v>Plastična embalaža (FOLIJA)</v>
      </c>
      <c r="C54" s="89" t="s">
        <v>53</v>
      </c>
      <c r="D54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54" s="20">
        <f>COUNTIFS(Tabela_vhod[V skladišču],"DA",Tabela_vhod[Klas. št. ],Tabela49[[#This Row],[Klas. št. ]],Tabela_vhod[Opomba],Tabela49[[#This Row],[Opomba]],Tabela_vhod[Skladišno mesto],"Sklad-7")</f>
        <v>0</v>
      </c>
      <c r="F54" s="21">
        <f>_xlfn.MAXIFS(Tabela_vhod[Datum sprejema],Tabela_vhod[Klas. št. ],Tabela49[[#This Row],[Klas. št. ]],Tabela_vhod[Opomba],Tabela49[[#This Row],[Opomba]])</f>
        <v>44151</v>
      </c>
      <c r="G54" s="21">
        <f>_xlfn.MAXIFS(Tabela_izhod[Datum izvoza],Tabela_izhod[Klas. št. ],Tabela49[[#This Row],[Klas. št. ]],Tabela_izhod[Opomba],Tabela49[[#This Row],[Opomba]])</f>
        <v>44134</v>
      </c>
    </row>
    <row r="55" spans="1:7" s="2" customFormat="1" ht="30" customHeight="1" x14ac:dyDescent="0.25">
      <c r="A55" s="27" t="s">
        <v>149</v>
      </c>
      <c r="B55" s="30" t="str">
        <f>INDEX(Seznam_klasifikacij[Naziv],MATCH(Tabela49[[#This Row],[Klas. št. ]],Seznam_klasifikacij[Klasifikacija],0))</f>
        <v>Zavorne tekočine</v>
      </c>
      <c r="C55" s="89" t="s">
        <v>53</v>
      </c>
      <c r="D55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55" s="20">
        <f>COUNTIFS(Tabela_vhod[V skladišču],"DA",Tabela_vhod[Klas. št. ],Tabela49[[#This Row],[Klas. št. ]],Tabela_vhod[Opomba],Tabela49[[#This Row],[Opomba]],Tabela_vhod[Skladišno mesto],"Sklad-7")</f>
        <v>0</v>
      </c>
      <c r="F55" s="21">
        <f>_xlfn.MAXIFS(Tabela_vhod[Datum sprejema],Tabela_vhod[Klas. št. ],Tabela49[[#This Row],[Klas. št. ]],Tabela_vhod[Opomba],Tabela49[[#This Row],[Opomba]])</f>
        <v>0</v>
      </c>
      <c r="G55" s="21">
        <f>_xlfn.MAXIFS(Tabela_izhod[Datum izvoza],Tabela_izhod[Klas. št. ],Tabela49[[#This Row],[Klas. št. ]],Tabela_izhod[Opomba],Tabela49[[#This Row],[Opomba]])</f>
        <v>0</v>
      </c>
    </row>
    <row r="56" spans="1:7" s="2" customFormat="1" ht="30" customHeight="1" x14ac:dyDescent="0.25">
      <c r="A56" s="27" t="s">
        <v>151</v>
      </c>
      <c r="B56" s="30" t="str">
        <f>INDEX(Seznam_klasifikacij[Naziv],MATCH(Tabela49[[#This Row],[Klas. št. ]],Seznam_klasifikacij[Klasifikacija],0))</f>
        <v>Tekočine proti zmrzovanju, ki vsebujejo nevarne snovi</v>
      </c>
      <c r="C56" s="89" t="s">
        <v>53</v>
      </c>
      <c r="D56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56" s="20">
        <f>COUNTIFS(Tabela_vhod[V skladišču],"DA",Tabela_vhod[Klas. št. ],Tabela49[[#This Row],[Klas. št. ]],Tabela_vhod[Opomba],Tabela49[[#This Row],[Opomba]],Tabela_vhod[Skladišno mesto],"Sklad-7")</f>
        <v>0</v>
      </c>
      <c r="F56" s="21">
        <f>_xlfn.MAXIFS(Tabela_vhod[Datum sprejema],Tabela_vhod[Klas. št. ],Tabela49[[#This Row],[Klas. št. ]],Tabela_vhod[Opomba],Tabela49[[#This Row],[Opomba]])</f>
        <v>0</v>
      </c>
      <c r="G56" s="21">
        <f>_xlfn.MAXIFS(Tabela_izhod[Datum izvoza],Tabela_izhod[Klas. št. ],Tabela49[[#This Row],[Klas. št. ]],Tabela_izhod[Opomba],Tabela49[[#This Row],[Opomba]])</f>
        <v>0</v>
      </c>
    </row>
    <row r="57" spans="1:7" s="2" customFormat="1" ht="30" customHeight="1" x14ac:dyDescent="0.25">
      <c r="A57" s="27" t="s">
        <v>153</v>
      </c>
      <c r="B57" s="30" t="str">
        <f>INDEX(Seznam_klasifikacij[Naziv],MATCH(Tabela49[[#This Row],[Klas. št. ]],Seznam_klasifikacij[Klasifikacija],0))</f>
        <v>Tekočine proti zmrzovanju, ki niso navedene pod 16 01 14</v>
      </c>
      <c r="C57" s="89" t="s">
        <v>53</v>
      </c>
      <c r="D57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57" s="20">
        <f>COUNTIFS(Tabela_vhod[V skladišču],"DA",Tabela_vhod[Klas. št. ],Tabela49[[#This Row],[Klas. št. ]],Tabela_vhod[Opomba],Tabela49[[#This Row],[Opomba]],Tabela_vhod[Skladišno mesto],"Sklad-7")</f>
        <v>0</v>
      </c>
      <c r="F57" s="21">
        <f>_xlfn.MAXIFS(Tabela_vhod[Datum sprejema],Tabela_vhod[Klas. št. ],Tabela49[[#This Row],[Klas. št. ]],Tabela_vhod[Opomba],Tabela49[[#This Row],[Opomba]])</f>
        <v>0</v>
      </c>
      <c r="G57" s="21">
        <f>_xlfn.MAXIFS(Tabela_izhod[Datum izvoza],Tabela_izhod[Klas. št. ],Tabela49[[#This Row],[Klas. št. ]],Tabela_izhod[Opomba],Tabela49[[#This Row],[Opomba]])</f>
        <v>0</v>
      </c>
    </row>
    <row r="58" spans="1:7" s="2" customFormat="1" ht="30" customHeight="1" x14ac:dyDescent="0.25">
      <c r="A58" s="27" t="s">
        <v>155</v>
      </c>
      <c r="B58" s="30" t="str">
        <f>INDEX(Seznam_klasifikacij[Naziv],MATCH(Tabela49[[#This Row],[Klas. št. ]],Seznam_klasifikacij[Klasifikacija],0))</f>
        <v>Plastika</v>
      </c>
      <c r="C58" s="89" t="s">
        <v>53</v>
      </c>
      <c r="D58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58" s="20">
        <f>COUNTIFS(Tabela_vhod[V skladišču],"DA",Tabela_vhod[Klas. št. ],Tabela49[[#This Row],[Klas. št. ]],Tabela_vhod[Opomba],Tabela49[[#This Row],[Opomba]],Tabela_vhod[Skladišno mesto],"Sklad-7")</f>
        <v>0</v>
      </c>
      <c r="F58" s="21">
        <f>_xlfn.MAXIFS(Tabela_vhod[Datum sprejema],Tabela_vhod[Klas. št. ],Tabela49[[#This Row],[Klas. št. ]],Tabela_vhod[Opomba],Tabela49[[#This Row],[Opomba]])</f>
        <v>0</v>
      </c>
      <c r="G58" s="21">
        <f>_xlfn.MAXIFS(Tabela_izhod[Datum izvoza],Tabela_izhod[Klas. št. ],Tabela49[[#This Row],[Klas. št. ]],Tabela_izhod[Opomba],Tabela49[[#This Row],[Opomba]])</f>
        <v>0</v>
      </c>
    </row>
    <row r="59" spans="1:7" s="2" customFormat="1" ht="30" customHeight="1" x14ac:dyDescent="0.25">
      <c r="A59" s="27" t="s">
        <v>91</v>
      </c>
      <c r="B59" s="30" t="str">
        <f>INDEX(Seznam_klasifikacij[Naziv],MATCH(Tabela49[[#This Row],[Klas. št. ]],Seznam_klasifikacij[Klasifikacija],0))</f>
        <v>Nevarne sestavine, ki niso navedene pod 16 01 07 do 16 01 11 ter 16 01 13 in 16 01 14</v>
      </c>
      <c r="C59" s="89" t="s">
        <v>53</v>
      </c>
      <c r="D59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59" s="20">
        <f>COUNTIFS(Tabela_vhod[V skladišču],"DA",Tabela_vhod[Klas. št. ],Tabela49[[#This Row],[Klas. št. ]],Tabela_vhod[Opomba],Tabela49[[#This Row],[Opomba]],Tabela_vhod[Skladišno mesto],"Sklad-7")</f>
        <v>0</v>
      </c>
      <c r="F59" s="21">
        <f>_xlfn.MAXIFS(Tabela_vhod[Datum sprejema],Tabela_vhod[Klas. št. ],Tabela49[[#This Row],[Klas. št. ]],Tabela_vhod[Opomba],Tabela49[[#This Row],[Opomba]])</f>
        <v>44039</v>
      </c>
      <c r="G59" s="21">
        <f>_xlfn.MAXIFS(Tabela_izhod[Datum izvoza],Tabela_izhod[Klas. št. ],Tabela49[[#This Row],[Klas. št. ]],Tabela_izhod[Opomba],Tabela49[[#This Row],[Opomba]])</f>
        <v>44084</v>
      </c>
    </row>
    <row r="60" spans="1:7" s="2" customFormat="1" ht="30" customHeight="1" x14ac:dyDescent="0.25">
      <c r="A60" s="27" t="s">
        <v>64</v>
      </c>
      <c r="B60" s="30" t="str">
        <f>INDEX(Seznam_klasifikacij[Naziv],MATCH(Tabela49[[#This Row],[Klas. št. ]],Seznam_klasifikacij[Klasifikacija],0))</f>
        <v>Anorganski odpadki, ki niso navedeni pod 16 03 03</v>
      </c>
      <c r="C60" s="89" t="s">
        <v>53</v>
      </c>
      <c r="D60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60" s="20">
        <f>COUNTIFS(Tabela_vhod[V skladišču],"DA",Tabela_vhod[Klas. št. ],Tabela49[[#This Row],[Klas. št. ]],Tabela_vhod[Opomba],Tabela49[[#This Row],[Opomba]],Tabela_vhod[Skladišno mesto],"Sklad-7")</f>
        <v>0</v>
      </c>
      <c r="F60" s="21">
        <f>_xlfn.MAXIFS(Tabela_vhod[Datum sprejema],Tabela_vhod[Klas. št. ],Tabela49[[#This Row],[Klas. št. ]],Tabela_vhod[Opomba],Tabela49[[#This Row],[Opomba]])</f>
        <v>44041</v>
      </c>
      <c r="G60" s="21">
        <f>_xlfn.MAXIFS(Tabela_izhod[Datum izvoza],Tabela_izhod[Klas. št. ],Tabela49[[#This Row],[Klas. št. ]],Tabela_izhod[Opomba],Tabela49[[#This Row],[Opomba]])</f>
        <v>44063</v>
      </c>
    </row>
    <row r="61" spans="1:7" s="2" customFormat="1" ht="30" customHeight="1" x14ac:dyDescent="0.25">
      <c r="A61" s="27" t="s">
        <v>159</v>
      </c>
      <c r="B61" s="30" t="str">
        <f>INDEX(Seznam_klasifikacij[Naziv],MATCH(Tabela49[[#This Row],[Klas. št. ]],Seznam_klasifikacij[Klasifikacija],0))</f>
        <v>Zavržene organske kemikalije, ki so sestavljene iz ali vsebujejo nevarne snovi</v>
      </c>
      <c r="C61" s="89" t="s">
        <v>53</v>
      </c>
      <c r="D61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61" s="20">
        <f>COUNTIFS(Tabela_vhod[V skladišču],"DA",Tabela_vhod[Klas. št. ],Tabela49[[#This Row],[Klas. št. ]],Tabela_vhod[Opomba],Tabela49[[#This Row],[Opomba]],Tabela_vhod[Skladišno mesto],"Sklad-7")</f>
        <v>0</v>
      </c>
      <c r="F61" s="21">
        <f>_xlfn.MAXIFS(Tabela_vhod[Datum sprejema],Tabela_vhod[Klas. št. ],Tabela49[[#This Row],[Klas. št. ]],Tabela_vhod[Opomba],Tabela49[[#This Row],[Opomba]])</f>
        <v>0</v>
      </c>
      <c r="G61" s="21">
        <f>_xlfn.MAXIFS(Tabela_izhod[Datum izvoza],Tabela_izhod[Klas. št. ],Tabela49[[#This Row],[Klas. št. ]],Tabela_izhod[Opomba],Tabela49[[#This Row],[Opomba]])</f>
        <v>0</v>
      </c>
    </row>
    <row r="62" spans="1:7" s="2" customFormat="1" ht="30" customHeight="1" x14ac:dyDescent="0.25">
      <c r="A62" s="27" t="s">
        <v>161</v>
      </c>
      <c r="B62" s="30" t="str">
        <f>INDEX(Seznam_klasifikacij[Naziv],MATCH(Tabela49[[#This Row],[Klas. št. ]],Seznam_klasifikacij[Klasifikacija],0))</f>
        <v>Ločeno zbrani elektroliti iz baterij in akumulatorjev</v>
      </c>
      <c r="C62" s="89" t="s">
        <v>53</v>
      </c>
      <c r="D62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62" s="20">
        <f>COUNTIFS(Tabela_vhod[V skladišču],"DA",Tabela_vhod[Klas. št. ],Tabela49[[#This Row],[Klas. št. ]],Tabela_vhod[Opomba],Tabela49[[#This Row],[Opomba]],Tabela_vhod[Skladišno mesto],"Sklad-7")</f>
        <v>0</v>
      </c>
      <c r="F62" s="21">
        <f>_xlfn.MAXIFS(Tabela_vhod[Datum sprejema],Tabela_vhod[Klas. št. ],Tabela49[[#This Row],[Klas. št. ]],Tabela_vhod[Opomba],Tabela49[[#This Row],[Opomba]])</f>
        <v>0</v>
      </c>
      <c r="G62" s="21">
        <f>_xlfn.MAXIFS(Tabela_izhod[Datum izvoza],Tabela_izhod[Klas. št. ],Tabela49[[#This Row],[Klas. št. ]],Tabela_izhod[Opomba],Tabela49[[#This Row],[Opomba]])</f>
        <v>0</v>
      </c>
    </row>
    <row r="63" spans="1:7" s="2" customFormat="1" ht="30" customHeight="1" x14ac:dyDescent="0.25">
      <c r="A63" s="27" t="s">
        <v>13</v>
      </c>
      <c r="B63" s="30" t="str">
        <f>INDEX(Seznam_klasifikacij[Naziv],MATCH(Tabela49[[#This Row],[Klas. št. ]],Seznam_klasifikacij[Klasifikacija],0))</f>
        <v>Mulji, ki nastanejo pri fizikalno-kemijski obdelavi in vsebujejo nevarne snovi</v>
      </c>
      <c r="C63" s="89" t="s">
        <v>53</v>
      </c>
      <c r="D63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63" s="20">
        <f>COUNTIFS(Tabela_vhod[V skladišču],"DA",Tabela_vhod[Klas. št. ],Tabela49[[#This Row],[Klas. št. ]],Tabela_vhod[Opomba],Tabela49[[#This Row],[Opomba]],Tabela_vhod[Skladišno mesto],"Sklad-7")</f>
        <v>0</v>
      </c>
      <c r="F63" s="21">
        <f>_xlfn.MAXIFS(Tabela_vhod[Datum sprejema],Tabela_vhod[Klas. št. ],Tabela49[[#This Row],[Klas. št. ]],Tabela_vhod[Opomba],Tabela49[[#This Row],[Opomba]])</f>
        <v>44123</v>
      </c>
      <c r="G63" s="21">
        <f>_xlfn.MAXIFS(Tabela_izhod[Datum izvoza],Tabela_izhod[Klas. št. ],Tabela49[[#This Row],[Klas. št. ]],Tabela_izhod[Opomba],Tabela49[[#This Row],[Opomba]])</f>
        <v>44131</v>
      </c>
    </row>
    <row r="64" spans="1:7" s="2" customFormat="1" ht="30" customHeight="1" x14ac:dyDescent="0.25">
      <c r="A64" s="27" t="s">
        <v>185</v>
      </c>
      <c r="B64" s="28" t="str">
        <f>INDEX(Seznam_klasifikacij[Naziv],MATCH(Tabela49[[#This Row],[Klas. št. ]],Seznam_klasifikacij[Klasifikacija],0))</f>
        <v>Tekoči gorljivi odpadki, ki vsebujejo nevarne snovi</v>
      </c>
      <c r="C64" s="89" t="s">
        <v>53</v>
      </c>
      <c r="D64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64" s="20">
        <f>COUNTIFS(Tabela_vhod[V skladišču],"DA",Tabela_vhod[Klas. št. ],Tabela49[[#This Row],[Klas. št. ]],Tabela_vhod[Opomba],Tabela49[[#This Row],[Opomba]],Tabela_vhod[Skladišno mesto],"Sklad-7")</f>
        <v>0</v>
      </c>
      <c r="F64" s="21">
        <f>_xlfn.MAXIFS(Tabela_vhod[Datum sprejema],Tabela_vhod[Klas. št. ],Tabela49[[#This Row],[Klas. št. ]],Tabela_vhod[Opomba],Tabela49[[#This Row],[Opomba]])</f>
        <v>0</v>
      </c>
      <c r="G64" s="21">
        <f>_xlfn.MAXIFS(Tabela_izhod[Datum izvoza],Tabela_izhod[Klas. št. ],Tabela49[[#This Row],[Klas. št. ]],Tabela_izhod[Opomba],Tabela49[[#This Row],[Opomba]])</f>
        <v>0</v>
      </c>
    </row>
    <row r="65" spans="1:7" s="2" customFormat="1" ht="30" customHeight="1" x14ac:dyDescent="0.25">
      <c r="A65" s="27" t="s">
        <v>166</v>
      </c>
      <c r="B65" s="30" t="str">
        <f>INDEX(Seznam_klasifikacij[Naziv],MATCH(Tabela49[[#This Row],[Klas. št. ]],Seznam_klasifikacij[Klasifikacija],0))</f>
        <v>Utrjeni (soldificirani) odpadki, označeni kot nevarni</v>
      </c>
      <c r="C65" s="89" t="s">
        <v>53</v>
      </c>
      <c r="D65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65" s="20">
        <f>COUNTIFS(Tabela_vhod[V skladišču],"DA",Tabela_vhod[Klas. št. ],Tabela49[[#This Row],[Klas. št. ]],Tabela_vhod[Opomba],Tabela49[[#This Row],[Opomba]],Tabela_vhod[Skladišno mesto],"Sklad-7")</f>
        <v>0</v>
      </c>
      <c r="F65" s="21">
        <f>_xlfn.MAXIFS(Tabela_vhod[Datum sprejema],Tabela_vhod[Klas. št. ],Tabela49[[#This Row],[Klas. št. ]],Tabela_vhod[Opomba],Tabela49[[#This Row],[Opomba]])</f>
        <v>0</v>
      </c>
      <c r="G65" s="21">
        <f>_xlfn.MAXIFS(Tabela_izhod[Datum izvoza],Tabela_izhod[Klas. št. ],Tabela49[[#This Row],[Klas. št. ]],Tabela_izhod[Opomba],Tabela49[[#This Row],[Opomba]])</f>
        <v>0</v>
      </c>
    </row>
    <row r="66" spans="1:7" s="2" customFormat="1" ht="30" customHeight="1" x14ac:dyDescent="0.25">
      <c r="A66" s="27" t="s">
        <v>168</v>
      </c>
      <c r="B66" s="30" t="str">
        <f>INDEX(Seznam_klasifikacij[Naziv],MATCH(Tabela49[[#This Row],[Klas. št. ]],Seznam_klasifikacij[Klasifikacija],0))</f>
        <v>Odpadki iz peskolovov</v>
      </c>
      <c r="C66" s="89" t="s">
        <v>53</v>
      </c>
      <c r="D66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66" s="20">
        <f>COUNTIFS(Tabela_vhod[V skladišču],"DA",Tabela_vhod[Klas. št. ],Tabela49[[#This Row],[Klas. št. ]],Tabela_vhod[Opomba],Tabela49[[#This Row],[Opomba]],Tabela_vhod[Skladišno mesto],"Sklad-7")</f>
        <v>0</v>
      </c>
      <c r="F66" s="21">
        <f>_xlfn.MAXIFS(Tabela_vhod[Datum sprejema],Tabela_vhod[Klas. št. ],Tabela49[[#This Row],[Klas. št. ]],Tabela_vhod[Opomba],Tabela49[[#This Row],[Opomba]])</f>
        <v>44062</v>
      </c>
      <c r="G66" s="21">
        <f>_xlfn.MAXIFS(Tabela_izhod[Datum izvoza],Tabela_izhod[Klas. št. ],Tabela49[[#This Row],[Klas. št. ]],Tabela_izhod[Opomba],Tabela49[[#This Row],[Opomba]])</f>
        <v>44110</v>
      </c>
    </row>
    <row r="67" spans="1:7" s="2" customFormat="1" ht="30" customHeight="1" x14ac:dyDescent="0.25">
      <c r="A67" s="27" t="s">
        <v>171</v>
      </c>
      <c r="B67" s="30" t="str">
        <f>INDEX(Seznam_klasifikacij[Naziv],MATCH(Tabela49[[#This Row],[Klas. št. ]],Seznam_klasifikacij[Klasifikacija],0))</f>
        <v>Raztopine in mulji iz regeneracije ionskih izmenjevalnikov</v>
      </c>
      <c r="C67" s="89" t="s">
        <v>53</v>
      </c>
      <c r="D67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67" s="20">
        <f>COUNTIFS(Tabela_vhod[V skladišču],"DA",Tabela_vhod[Klas. št. ],Tabela49[[#This Row],[Klas. št. ]],Tabela_vhod[Opomba],Tabela49[[#This Row],[Opomba]],Tabela_vhod[Skladišno mesto],"Sklad-7")</f>
        <v>0</v>
      </c>
      <c r="F67" s="21">
        <f>_xlfn.MAXIFS(Tabela_vhod[Datum sprejema],Tabela_vhod[Klas. št. ],Tabela49[[#This Row],[Klas. št. ]],Tabela_vhod[Opomba],Tabela49[[#This Row],[Opomba]])</f>
        <v>0</v>
      </c>
      <c r="G67" s="21">
        <f>_xlfn.MAXIFS(Tabela_izhod[Datum izvoza],Tabela_izhod[Klas. št. ],Tabela49[[#This Row],[Klas. št. ]],Tabela_izhod[Opomba],Tabela49[[#This Row],[Opomba]])</f>
        <v>0</v>
      </c>
    </row>
    <row r="68" spans="1:7" s="2" customFormat="1" ht="30" customHeight="1" x14ac:dyDescent="0.25">
      <c r="A68" s="27" t="s">
        <v>173</v>
      </c>
      <c r="B68" s="30" t="str">
        <f>INDEX(Seznam_klasifikacij[Naziv],MATCH(Tabela49[[#This Row],[Klas. št. ]],Seznam_klasifikacij[Klasifikacija],0))</f>
        <v>Masti in oljne mešanice iz naprav za ločevanje olja in vode, ki vsebujejo le jedilna olja in masti</v>
      </c>
      <c r="C68" s="89" t="s">
        <v>53</v>
      </c>
      <c r="D68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68" s="20">
        <f>COUNTIFS(Tabela_vhod[V skladišču],"DA",Tabela_vhod[Klas. št. ],Tabela49[[#This Row],[Klas. št. ]],Tabela_vhod[Opomba],Tabela49[[#This Row],[Opomba]],Tabela_vhod[Skladišno mesto],"Sklad-7")</f>
        <v>0</v>
      </c>
      <c r="F68" s="21">
        <f>_xlfn.MAXIFS(Tabela_vhod[Datum sprejema],Tabela_vhod[Klas. št. ],Tabela49[[#This Row],[Klas. št. ]],Tabela_vhod[Opomba],Tabela49[[#This Row],[Opomba]])</f>
        <v>0</v>
      </c>
      <c r="G68" s="21">
        <f>_xlfn.MAXIFS(Tabela_izhod[Datum izvoza],Tabela_izhod[Klas. št. ],Tabela49[[#This Row],[Klas. št. ]],Tabela_izhod[Opomba],Tabela49[[#This Row],[Opomba]])</f>
        <v>0</v>
      </c>
    </row>
    <row r="69" spans="1:7" s="2" customFormat="1" ht="30" customHeight="1" x14ac:dyDescent="0.25">
      <c r="A69" s="27" t="s">
        <v>175</v>
      </c>
      <c r="B69" s="30" t="str">
        <f>INDEX(Seznam_klasifikacij[Naziv],MATCH(Tabela49[[#This Row],[Klas. št. ]],Seznam_klasifikacij[Klasifikacija],0))</f>
        <v>Mulji iz drugih čistilnih naprav tehnoloških odpadnih voda, ki vsebujejo nevarne snovi</v>
      </c>
      <c r="C69" s="89" t="s">
        <v>53</v>
      </c>
      <c r="D69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69" s="20">
        <f>COUNTIFS(Tabela_vhod[V skladišču],"DA",Tabela_vhod[Klas. št. ],Tabela49[[#This Row],[Klas. št. ]],Tabela_vhod[Opomba],Tabela49[[#This Row],[Opomba]],Tabela_vhod[Skladišno mesto],"Sklad-7")</f>
        <v>0</v>
      </c>
      <c r="F69" s="21">
        <f>_xlfn.MAXIFS(Tabela_vhod[Datum sprejema],Tabela_vhod[Klas. št. ],Tabela49[[#This Row],[Klas. št. ]],Tabela_vhod[Opomba],Tabela49[[#This Row],[Opomba]])</f>
        <v>44147</v>
      </c>
      <c r="G69" s="21">
        <f>_xlfn.MAXIFS(Tabela_izhod[Datum izvoza],Tabela_izhod[Klas. št. ],Tabela49[[#This Row],[Klas. št. ]],Tabela_izhod[Opomba],Tabela49[[#This Row],[Opomba]])</f>
        <v>0</v>
      </c>
    </row>
    <row r="70" spans="1:7" s="2" customFormat="1" ht="30" customHeight="1" x14ac:dyDescent="0.25">
      <c r="A70" s="27" t="s">
        <v>14</v>
      </c>
      <c r="B70" s="28" t="str">
        <f>INDEX(Seznam_klasifikacij[Naziv],MATCH(Tabela49[[#This Row],[Klas. št. ]],Seznam_klasifikacij[Klasifikacija],0))</f>
        <v xml:space="preserve">Mulji iz drugih čistilnih naprav tehnoloških odpadnih vod, ki niso zajeti v 10 08 13 </v>
      </c>
      <c r="C70" s="89" t="s">
        <v>53</v>
      </c>
      <c r="D70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70" s="20">
        <f>COUNTIFS(Tabela_vhod[V skladišču],"DA",Tabela_vhod[Klas. št. ],Tabela49[[#This Row],[Klas. št. ]],Tabela_vhod[Opomba],Tabela49[[#This Row],[Opomba]],Tabela_vhod[Skladišno mesto],"Sklad-7")</f>
        <v>0</v>
      </c>
      <c r="F70" s="21">
        <f>_xlfn.MAXIFS(Tabela_vhod[Datum sprejema],Tabela_vhod[Klas. št. ],Tabela49[[#This Row],[Klas. št. ]],Tabela_vhod[Opomba],Tabela49[[#This Row],[Opomba]])</f>
        <v>44133</v>
      </c>
      <c r="G70" s="21">
        <f>_xlfn.MAXIFS(Tabela_izhod[Datum izvoza],Tabela_izhod[Klas. št. ],Tabela49[[#This Row],[Klas. št. ]],Tabela_izhod[Opomba],Tabela49[[#This Row],[Opomba]])</f>
        <v>44110</v>
      </c>
    </row>
    <row r="71" spans="1:7" s="2" customFormat="1" ht="30" customHeight="1" x14ac:dyDescent="0.25">
      <c r="A71" s="27" t="s">
        <v>184</v>
      </c>
      <c r="B71" s="30" t="str">
        <f>INDEX(Seznam_klasifikacij[Naziv],MATCH(Tabela49[[#This Row],[Klas. št. ]],Seznam_klasifikacij[Klasifikacija],0))</f>
        <v>Nasičene ali izrabljene smole ionskih izmenjevalnikov</v>
      </c>
      <c r="C71" s="89" t="s">
        <v>53</v>
      </c>
      <c r="D71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71" s="20">
        <f>COUNTIFS(Tabela_vhod[V skladišču],"DA",Tabela_vhod[Klas. št. ],Tabela49[[#This Row],[Klas. št. ]],Tabela_vhod[Opomba],Tabela49[[#This Row],[Opomba]],Tabela_vhod[Skladišno mesto],"Sklad-7")</f>
        <v>0</v>
      </c>
      <c r="F71" s="21">
        <f>_xlfn.MAXIFS(Tabela_vhod[Datum sprejema],Tabela_vhod[Klas. št. ],Tabela49[[#This Row],[Klas. št. ]],Tabela_vhod[Opomba],Tabela49[[#This Row],[Opomba]])</f>
        <v>0</v>
      </c>
      <c r="G71" s="21">
        <f>_xlfn.MAXIFS(Tabela_izhod[Datum izvoza],Tabela_izhod[Klas. št. ],Tabela49[[#This Row],[Klas. št. ]],Tabela_izhod[Opomba],Tabela49[[#This Row],[Opomba]])</f>
        <v>0</v>
      </c>
    </row>
    <row r="72" spans="1:7" s="2" customFormat="1" ht="30" customHeight="1" x14ac:dyDescent="0.25">
      <c r="A72" s="27" t="s">
        <v>177</v>
      </c>
      <c r="B72" s="30" t="str">
        <f>INDEX(Seznam_klasifikacij[Naziv],MATCH(Tabela49[[#This Row],[Klas. št. ]],Seznam_klasifikacij[Klasifikacija],0))</f>
        <v>Železne kovine</v>
      </c>
      <c r="C72" s="89" t="s">
        <v>53</v>
      </c>
      <c r="D72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72" s="20">
        <f>COUNTIFS(Tabela_vhod[V skladišču],"DA",Tabela_vhod[Klas. št. ],Tabela49[[#This Row],[Klas. št. ]],Tabela_vhod[Opomba],Tabela49[[#This Row],[Opomba]],Tabela_vhod[Skladišno mesto],"Sklad-7")</f>
        <v>0</v>
      </c>
      <c r="F72" s="21">
        <f>_xlfn.MAXIFS(Tabela_vhod[Datum sprejema],Tabela_vhod[Klas. št. ],Tabela49[[#This Row],[Klas. št. ]],Tabela_vhod[Opomba],Tabela49[[#This Row],[Opomba]])</f>
        <v>0</v>
      </c>
      <c r="G72" s="21">
        <f>_xlfn.MAXIFS(Tabela_izhod[Datum izvoza],Tabela_izhod[Klas. št. ],Tabela49[[#This Row],[Klas. št. ]],Tabela_izhod[Opomba],Tabela49[[#This Row],[Opomba]])</f>
        <v>0</v>
      </c>
    </row>
    <row r="73" spans="1:7" s="2" customFormat="1" ht="30" customHeight="1" x14ac:dyDescent="0.25">
      <c r="A73" s="27" t="s">
        <v>1</v>
      </c>
      <c r="B73" s="28" t="str">
        <f>INDEX(Seznam_klasifikacij[Naziv],MATCH(Tabela49[[#This Row],[Klas. št. ]],Seznam_klasifikacij[Klasifikacija],0))</f>
        <v>Plastika in gume</v>
      </c>
      <c r="C73" s="89" t="s">
        <v>42</v>
      </c>
      <c r="D73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73" s="20">
        <f>COUNTIFS(Tabela_vhod[V skladišču],"DA",Tabela_vhod[Klas. št. ],Tabela49[[#This Row],[Klas. št. ]],Tabela_vhod[Opomba],Tabela49[[#This Row],[Opomba]],Tabela_vhod[Skladišno mesto],"Sklad-7")</f>
        <v>0</v>
      </c>
      <c r="F73" s="21">
        <f>_xlfn.MAXIFS(Tabela_vhod[Datum sprejema],Tabela_vhod[Klas. št. ],Tabela49[[#This Row],[Klas. št. ]],Tabela_vhod[Opomba],Tabela49[[#This Row],[Opomba]])</f>
        <v>0</v>
      </c>
      <c r="G73" s="21">
        <f>_xlfn.MAXIFS(Tabela_izhod[Datum izvoza],Tabela_izhod[Klas. št. ],Tabela49[[#This Row],[Klas. št. ]],Tabela_izhod[Opomba],Tabela49[[#This Row],[Opomba]])</f>
        <v>0</v>
      </c>
    </row>
    <row r="74" spans="1:7" s="2" customFormat="1" ht="30" customHeight="1" x14ac:dyDescent="0.25">
      <c r="A74" s="27" t="s">
        <v>1</v>
      </c>
      <c r="B74" s="28" t="str">
        <f>INDEX(Seznam_klasifikacij[Naziv],MATCH(Tabela49[[#This Row],[Klas. št. ]],Seznam_klasifikacij[Klasifikacija],0))</f>
        <v>Plastika in gume</v>
      </c>
      <c r="C74" s="89" t="s">
        <v>53</v>
      </c>
      <c r="D74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74" s="20">
        <f>COUNTIFS(Tabela_vhod[V skladišču],"DA",Tabela_vhod[Klas. št. ],Tabela49[[#This Row],[Klas. št. ]],Tabela_vhod[Opomba],Tabela49[[#This Row],[Opomba]],Tabela_vhod[Skladišno mesto],"Sklad-7")</f>
        <v>0</v>
      </c>
      <c r="F74" s="21">
        <f>_xlfn.MAXIFS(Tabela_vhod[Datum sprejema],Tabela_vhod[Klas. št. ],Tabela49[[#This Row],[Klas. št. ]],Tabela_vhod[Opomba],Tabela49[[#This Row],[Opomba]])</f>
        <v>44146</v>
      </c>
      <c r="G74" s="21">
        <f>_xlfn.MAXIFS(Tabela_izhod[Datum izvoza],Tabela_izhod[Klas. št. ],Tabela49[[#This Row],[Klas. št. ]],Tabela_izhod[Opomba],Tabela49[[#This Row],[Opomba]])</f>
        <v>44145</v>
      </c>
    </row>
    <row r="75" spans="1:7" s="2" customFormat="1" ht="30" customHeight="1" x14ac:dyDescent="0.25">
      <c r="A75" s="27" t="s">
        <v>179</v>
      </c>
      <c r="B75" s="30" t="str">
        <f>INDEX(Seznam_klasifikacij[Naziv],MATCH(Tabela49[[#This Row],[Klas. št. ]],Seznam_klasifikacij[Klasifikacija],0))</f>
        <v>Drugi odpadki (tudi mešanice materialov) iz mehanske obdelave odpadkov, ki vsebujejo nevarne snovi</v>
      </c>
      <c r="C75" s="89" t="s">
        <v>53</v>
      </c>
      <c r="D75" s="20">
        <f>SUMIFS(Tabela_vhod[Teža (kg)],Tabela_vhod[Klas. št. ],Tabela49[[#This Row],[Klas. št. ]],Tabela_vhod[Opomba],Tabela49[[#This Row],[Opomba]],Tabela_vhod[V skladišču],"DA",Tabela_vhod[Skladišno mesto],"Sklad-7")</f>
        <v>0</v>
      </c>
      <c r="E75" s="20">
        <f>COUNTIFS(Tabela_vhod[V skladišču],"DA",Tabela_vhod[Klas. št. ],Tabela49[[#This Row],[Klas. št. ]],Tabela_vhod[Opomba],Tabela49[[#This Row],[Opomba]],Tabela_vhod[Skladišno mesto],"Sklad-7")</f>
        <v>0</v>
      </c>
      <c r="F75" s="21">
        <f>_xlfn.MAXIFS(Tabela_vhod[Datum sprejema],Tabela_vhod[Klas. št. ],Tabela49[[#This Row],[Klas. št. ]],Tabela_vhod[Opomba],Tabela49[[#This Row],[Opomba]])</f>
        <v>0</v>
      </c>
      <c r="G75" s="21">
        <f>_xlfn.MAXIFS(Tabela_izhod[Datum izvoza],Tabela_izhod[Klas. št. ],Tabela49[[#This Row],[Klas. št. ]],Tabela_izhod[Opomba],Tabela49[[#This Row],[Opomba]])</f>
        <v>0</v>
      </c>
    </row>
    <row r="76" spans="1:7" s="2" customFormat="1" ht="30" customHeight="1" x14ac:dyDescent="0.25">
      <c r="A76" s="31" t="s">
        <v>50</v>
      </c>
      <c r="B76" s="32" t="str">
        <f>INDEX(Seznam_klasifikacij[Naziv],MATCH(Tabela49[[#This Row],[Klas. št. ]],Seznam_klasifikacij[Klasifikacija],0))</f>
        <v xml:space="preserve">Baterije in akumulatorji, ki so navedeni pod 16 06 01, 16 06 02 ali 16 06 03 ter nesortirane baterije in akumulatorji, ki vsebujejo te baterije in akumulatorje </v>
      </c>
      <c r="C76" s="92" t="s">
        <v>53</v>
      </c>
      <c r="D76" s="25">
        <f>SUMIFS(Tabela_vhod[Teža (kg)],Tabela_vhod[Klas. št. ],Tabela49[[#This Row],[Klas. št. ]],Tabela_vhod[Opomba],Tabela49[[#This Row],[Opomba]],Tabela_vhod[V skladišču],"DA",Tabela_vhod[Skladišno mesto],"Sklad-7")</f>
        <v>0</v>
      </c>
      <c r="E76" s="25">
        <f>COUNTIFS(Tabela_vhod[V skladišču],"DA",Tabela_vhod[Klas. št. ],Tabela49[[#This Row],[Klas. št. ]],Tabela_vhod[Opomba],Tabela49[[#This Row],[Opomba]],Tabela_vhod[Skladišno mesto],"Sklad-7")</f>
        <v>0</v>
      </c>
      <c r="F76" s="16">
        <f>_xlfn.MAXIFS(Tabela_vhod[Datum sprejema],Tabela_vhod[Klas. št. ],Tabela49[[#This Row],[Klas. št. ]],Tabela_vhod[Opomba],Tabela49[[#This Row],[Opomba]])</f>
        <v>44140</v>
      </c>
      <c r="G76" s="34">
        <f>_xlfn.MAXIFS(Tabela_izhod[Datum izvoza],Tabela_izhod[Klas. št. ],Tabela49[[#This Row],[Klas. št. ]],Tabela_izhod[Opomba],Tabela49[[#This Row],[Opomba]])</f>
        <v>44141</v>
      </c>
    </row>
    <row r="77" spans="1:7" s="2" customFormat="1" ht="30" customHeight="1" x14ac:dyDescent="0.25">
      <c r="A77" s="31" t="s">
        <v>72</v>
      </c>
      <c r="B77" s="32" t="str">
        <f>INDEX(Seznam_klasifikacij[Naziv],MATCH(Tabela49[[#This Row],[Klas. št. ]],Seznam_klasifikacij[Klasifikacija],0))</f>
        <v>Drugi tovrstni odpadki</v>
      </c>
      <c r="C77" s="92" t="s">
        <v>77</v>
      </c>
      <c r="D77" s="25">
        <f>SUMIFS(Tabela_vhod[Teža (kg)],Tabela_vhod[Klas. št. ],Tabela49[[#This Row],[Klas. št. ]],Tabela_vhod[Opomba],Tabela49[[#This Row],[Opomba]],Tabela_vhod[V skladišču],"DA",Tabela_vhod[Skladišno mesto],"Sklad-7")</f>
        <v>0</v>
      </c>
      <c r="E77" s="25">
        <f>COUNTIFS(Tabela_vhod[V skladišču],"DA",Tabela_vhod[Klas. št. ],Tabela49[[#This Row],[Klas. št. ]],Tabela_vhod[Opomba],Tabela49[[#This Row],[Opomba]],Tabela_vhod[Skladišno mesto],"Sklad-7")</f>
        <v>0</v>
      </c>
      <c r="F77" s="16">
        <f>_xlfn.MAXIFS(Tabela_vhod[Datum sprejema],Tabela_vhod[Klas. št. ],Tabela49[[#This Row],[Klas. št. ]],Tabela_vhod[Opomba],Tabela49[[#This Row],[Opomba]])</f>
        <v>44047</v>
      </c>
      <c r="G77" s="34">
        <f>_xlfn.MAXIFS(Tabela_izhod[Datum izvoza],Tabela_izhod[Klas. št. ],Tabela49[[#This Row],[Klas. št. ]],Tabela_izhod[Opomba],Tabela49[[#This Row],[Opomba]])</f>
        <v>44068</v>
      </c>
    </row>
    <row r="78" spans="1:7" s="2" customFormat="1" ht="30" customHeight="1" x14ac:dyDescent="0.25">
      <c r="A78" s="33" t="s">
        <v>78</v>
      </c>
      <c r="B78" s="33"/>
      <c r="C78" s="33"/>
      <c r="D78" s="33">
        <f>SUBTOTAL(109,Tabela49[Zaloga neto '[sklad-7'] (kg)  ])</f>
        <v>13640</v>
      </c>
      <c r="E78" s="33">
        <f>SUBTOTAL(109,Tabela49[Paletna mesta '[sklad-7']])</f>
        <v>27</v>
      </c>
      <c r="F78" s="16">
        <f>SUBTOTAL(104,Tabela49[Datum zadnjga sprejema])</f>
        <v>44151</v>
      </c>
      <c r="G78" s="38">
        <f>SUBTOTAL(104,Tabela49[Datum zadnjga izvoza])</f>
        <v>44145</v>
      </c>
    </row>
    <row r="79" spans="1:7" s="2" customFormat="1" ht="30" customHeight="1" x14ac:dyDescent="0.25"/>
    <row r="80" spans="1:7" s="2" customFormat="1" ht="30" customHeight="1" x14ac:dyDescent="0.25"/>
    <row r="81" spans="1:5" s="2" customFormat="1" ht="30" customHeight="1" x14ac:dyDescent="0.25"/>
    <row r="82" spans="1:5" s="2" customFormat="1" ht="30" customHeight="1" x14ac:dyDescent="0.25">
      <c r="A82" s="13"/>
      <c r="B82" s="14"/>
      <c r="C82" s="14"/>
      <c r="D82" s="16"/>
      <c r="E82" s="16"/>
    </row>
    <row r="83" spans="1:5" s="2" customFormat="1" ht="30" customHeight="1" x14ac:dyDescent="0.25">
      <c r="B83" s="3"/>
      <c r="C83" s="3"/>
      <c r="D83" s="7"/>
      <c r="E83" s="7"/>
    </row>
    <row r="84" spans="1:5" s="2" customFormat="1" ht="30" customHeight="1" x14ac:dyDescent="0.25">
      <c r="B84" s="3"/>
      <c r="C84" s="3"/>
      <c r="D84" s="7"/>
      <c r="E84" s="7"/>
    </row>
    <row r="85" spans="1:5" s="2" customFormat="1" ht="30" customHeight="1" x14ac:dyDescent="0.25">
      <c r="B85" s="3"/>
      <c r="C85" s="3"/>
      <c r="D85" s="7"/>
      <c r="E85" s="7"/>
    </row>
    <row r="86" spans="1:5" s="2" customFormat="1" ht="30" customHeight="1" x14ac:dyDescent="0.25">
      <c r="B86" s="3"/>
      <c r="C86" s="3"/>
      <c r="D86" s="7"/>
      <c r="E86" s="7"/>
    </row>
    <row r="87" spans="1:5" s="2" customFormat="1" ht="30" customHeight="1" x14ac:dyDescent="0.25">
      <c r="B87" s="3"/>
      <c r="C87" s="3"/>
      <c r="D87" s="7"/>
      <c r="E87" s="7"/>
    </row>
    <row r="88" spans="1:5" s="2" customFormat="1" ht="30" customHeight="1" x14ac:dyDescent="0.25">
      <c r="B88" s="3"/>
      <c r="C88" s="3"/>
      <c r="D88" s="7"/>
      <c r="E88" s="7"/>
    </row>
    <row r="89" spans="1:5" s="2" customFormat="1" ht="30" customHeight="1" x14ac:dyDescent="0.25">
      <c r="B89" s="3"/>
      <c r="C89" s="3"/>
      <c r="D89" s="7"/>
      <c r="E89" s="7"/>
    </row>
    <row r="90" spans="1:5" s="2" customFormat="1" ht="30" customHeight="1" x14ac:dyDescent="0.25">
      <c r="B90" s="3"/>
      <c r="C90" s="3"/>
      <c r="D90" s="7"/>
      <c r="E90" s="7"/>
    </row>
    <row r="91" spans="1:5" s="2" customFormat="1" ht="30" customHeight="1" x14ac:dyDescent="0.25">
      <c r="B91" s="3"/>
      <c r="C91" s="3"/>
      <c r="D91" s="7"/>
      <c r="E91" s="7"/>
    </row>
    <row r="92" spans="1:5" s="2" customFormat="1" ht="30" customHeight="1" x14ac:dyDescent="0.25">
      <c r="B92" s="3"/>
      <c r="C92" s="3"/>
      <c r="D92" s="7"/>
      <c r="E92" s="7"/>
    </row>
    <row r="93" spans="1:5" s="2" customFormat="1" ht="30" customHeight="1" x14ac:dyDescent="0.25">
      <c r="B93" s="3"/>
      <c r="C93" s="3"/>
      <c r="D93" s="7"/>
      <c r="E93" s="7"/>
    </row>
    <row r="94" spans="1:5" s="2" customFormat="1" ht="30" customHeight="1" x14ac:dyDescent="0.25">
      <c r="B94" s="3"/>
      <c r="C94" s="3"/>
      <c r="D94" s="7"/>
      <c r="E94" s="7"/>
    </row>
    <row r="95" spans="1:5" s="2" customFormat="1" ht="30" customHeight="1" x14ac:dyDescent="0.25">
      <c r="B95" s="3"/>
      <c r="C95" s="3"/>
      <c r="D95" s="7"/>
      <c r="E95" s="7"/>
    </row>
    <row r="96" spans="1:5" s="2" customFormat="1" ht="30" customHeight="1" x14ac:dyDescent="0.25">
      <c r="B96" s="3"/>
      <c r="C96" s="3"/>
      <c r="D96" s="7"/>
      <c r="E96" s="7"/>
    </row>
    <row r="97" spans="2:5" s="2" customFormat="1" ht="30" customHeight="1" x14ac:dyDescent="0.25">
      <c r="B97" s="3"/>
      <c r="C97" s="3"/>
      <c r="D97" s="7"/>
      <c r="E97" s="7"/>
    </row>
    <row r="98" spans="2:5" s="2" customFormat="1" ht="30" customHeight="1" x14ac:dyDescent="0.25">
      <c r="B98" s="3"/>
      <c r="C98" s="3"/>
      <c r="D98" s="7"/>
      <c r="E98" s="7"/>
    </row>
    <row r="99" spans="2:5" s="2" customFormat="1" ht="30" customHeight="1" x14ac:dyDescent="0.25">
      <c r="B99" s="3"/>
      <c r="C99" s="3"/>
      <c r="D99" s="7"/>
      <c r="E99" s="7"/>
    </row>
    <row r="100" spans="2:5" s="2" customFormat="1" ht="30" customHeight="1" x14ac:dyDescent="0.25">
      <c r="B100" s="3"/>
      <c r="C100" s="3"/>
      <c r="D100" s="7"/>
      <c r="E100" s="7"/>
    </row>
    <row r="101" spans="2:5" s="2" customFormat="1" ht="30" customHeight="1" x14ac:dyDescent="0.25">
      <c r="B101" s="3"/>
      <c r="C101" s="3"/>
      <c r="D101" s="7"/>
      <c r="E101" s="7"/>
    </row>
    <row r="102" spans="2:5" s="2" customFormat="1" ht="30" customHeight="1" x14ac:dyDescent="0.25">
      <c r="B102" s="3"/>
      <c r="C102" s="3"/>
      <c r="D102" s="7"/>
      <c r="E102" s="7"/>
    </row>
    <row r="103" spans="2:5" s="2" customFormat="1" ht="30" customHeight="1" x14ac:dyDescent="0.25">
      <c r="B103" s="3"/>
      <c r="C103" s="3"/>
      <c r="D103" s="7"/>
      <c r="E103" s="7"/>
    </row>
    <row r="104" spans="2:5" s="2" customFormat="1" ht="30" customHeight="1" x14ac:dyDescent="0.25">
      <c r="B104" s="3"/>
      <c r="C104" s="3"/>
      <c r="D104" s="7"/>
      <c r="E104" s="7"/>
    </row>
    <row r="105" spans="2:5" s="2" customFormat="1" ht="30" customHeight="1" x14ac:dyDescent="0.25">
      <c r="B105" s="3"/>
      <c r="C105" s="3"/>
      <c r="D105" s="7"/>
      <c r="E105" s="7"/>
    </row>
    <row r="106" spans="2:5" s="2" customFormat="1" ht="30" customHeight="1" x14ac:dyDescent="0.25">
      <c r="B106" s="3"/>
      <c r="C106" s="3"/>
      <c r="D106" s="7"/>
      <c r="E106" s="7"/>
    </row>
    <row r="107" spans="2:5" s="2" customFormat="1" ht="30" customHeight="1" x14ac:dyDescent="0.25">
      <c r="B107" s="3"/>
      <c r="C107" s="3"/>
      <c r="D107" s="7"/>
      <c r="E107" s="7"/>
    </row>
    <row r="108" spans="2:5" s="2" customFormat="1" ht="30" customHeight="1" x14ac:dyDescent="0.25">
      <c r="B108" s="3"/>
      <c r="C108" s="3"/>
      <c r="D108" s="7"/>
      <c r="E108" s="7"/>
    </row>
    <row r="109" spans="2:5" s="2" customFormat="1" ht="30" customHeight="1" x14ac:dyDescent="0.25">
      <c r="B109" s="3"/>
      <c r="C109" s="3"/>
      <c r="D109" s="7"/>
      <c r="E109" s="7"/>
    </row>
    <row r="110" spans="2:5" s="2" customFormat="1" ht="30" customHeight="1" x14ac:dyDescent="0.25">
      <c r="B110" s="3"/>
      <c r="C110" s="3"/>
      <c r="D110" s="7"/>
      <c r="E110" s="7"/>
    </row>
    <row r="111" spans="2:5" s="2" customFormat="1" ht="30" customHeight="1" x14ac:dyDescent="0.25">
      <c r="B111" s="3"/>
      <c r="C111" s="3"/>
      <c r="D111" s="7"/>
      <c r="E111" s="7"/>
    </row>
    <row r="112" spans="2:5" s="2" customFormat="1" ht="30" customHeight="1" x14ac:dyDescent="0.25">
      <c r="B112" s="3"/>
      <c r="C112" s="3"/>
      <c r="D112" s="7"/>
      <c r="E112" s="7"/>
    </row>
    <row r="113" spans="1:7" s="2" customFormat="1" ht="30" customHeight="1" x14ac:dyDescent="0.25">
      <c r="B113" s="3"/>
      <c r="C113" s="3"/>
      <c r="D113" s="7"/>
      <c r="E113" s="7"/>
    </row>
    <row r="114" spans="1:7" s="2" customFormat="1" ht="30" customHeight="1" x14ac:dyDescent="0.25">
      <c r="B114" s="3"/>
      <c r="C114" s="3"/>
      <c r="D114" s="7"/>
      <c r="E114" s="7"/>
    </row>
    <row r="115" spans="1:7" s="2" customFormat="1" ht="30" customHeight="1" x14ac:dyDescent="0.25">
      <c r="B115" s="3"/>
      <c r="C115" s="3"/>
      <c r="D115" s="7"/>
      <c r="E115" s="7"/>
    </row>
    <row r="116" spans="1:7" s="2" customFormat="1" ht="30" customHeight="1" x14ac:dyDescent="0.25">
      <c r="B116" s="3"/>
      <c r="C116" s="3"/>
      <c r="D116" s="7"/>
      <c r="E116" s="7"/>
    </row>
    <row r="117" spans="1:7" x14ac:dyDescent="0.25">
      <c r="A117" s="2"/>
      <c r="B117" s="3"/>
      <c r="C117" s="3"/>
      <c r="D117" s="7"/>
      <c r="E117" s="7"/>
      <c r="F117" s="2"/>
      <c r="G117" s="2"/>
    </row>
    <row r="118" spans="1:7" x14ac:dyDescent="0.25">
      <c r="A118" s="2"/>
      <c r="B118" s="3"/>
      <c r="C118" s="3"/>
      <c r="D118" s="7"/>
      <c r="E118" s="7"/>
      <c r="F118" s="2"/>
      <c r="G118" s="2"/>
    </row>
    <row r="119" spans="1:7" x14ac:dyDescent="0.25">
      <c r="A119" s="2"/>
      <c r="B119" s="3"/>
      <c r="C119" s="3"/>
      <c r="D119" s="7"/>
      <c r="E119" s="7"/>
    </row>
    <row r="120" spans="1:7" x14ac:dyDescent="0.25">
      <c r="A120" s="2"/>
      <c r="B120" s="3"/>
      <c r="C120" s="3"/>
      <c r="D120" s="7"/>
      <c r="E120" s="7"/>
    </row>
    <row r="121" spans="1:7" x14ac:dyDescent="0.25">
      <c r="A121" s="2"/>
      <c r="B121" s="3"/>
      <c r="C121" s="3"/>
      <c r="D121" s="7"/>
      <c r="E121" s="7"/>
    </row>
    <row r="122" spans="1:7" x14ac:dyDescent="0.25">
      <c r="A122" s="2"/>
      <c r="B122" s="3"/>
      <c r="C122" s="3"/>
      <c r="D122" s="7"/>
      <c r="E122" s="7"/>
    </row>
    <row r="123" spans="1:7" x14ac:dyDescent="0.25">
      <c r="A123" s="2"/>
      <c r="B123" s="3"/>
      <c r="C123" s="3"/>
      <c r="D123" s="7"/>
      <c r="E123" s="7"/>
    </row>
    <row r="124" spans="1:7" x14ac:dyDescent="0.25">
      <c r="A124" s="2"/>
      <c r="B124" s="3"/>
      <c r="C124" s="3"/>
      <c r="D124" s="7"/>
      <c r="E124" s="7"/>
    </row>
    <row r="125" spans="1:7" x14ac:dyDescent="0.25">
      <c r="A125" s="2"/>
      <c r="B125" s="3"/>
      <c r="C125" s="3"/>
      <c r="D125" s="7"/>
      <c r="E125" s="7"/>
    </row>
    <row r="126" spans="1:7" x14ac:dyDescent="0.25">
      <c r="A126" s="2"/>
      <c r="B126" s="3"/>
      <c r="C126" s="3"/>
      <c r="D126" s="7"/>
      <c r="E126" s="7"/>
    </row>
    <row r="127" spans="1:7" x14ac:dyDescent="0.25">
      <c r="A127" s="2"/>
      <c r="B127" s="3"/>
      <c r="C127" s="3"/>
      <c r="D127" s="7"/>
      <c r="E127" s="7"/>
    </row>
    <row r="128" spans="1:7" x14ac:dyDescent="0.25">
      <c r="A128" s="2"/>
      <c r="B128" s="3"/>
      <c r="C128" s="3"/>
      <c r="D128" s="7"/>
      <c r="E128" s="7"/>
    </row>
    <row r="129" spans="1:5" x14ac:dyDescent="0.25">
      <c r="A129" s="2"/>
      <c r="B129" s="3"/>
      <c r="C129" s="3"/>
      <c r="D129" s="7"/>
      <c r="E129" s="7"/>
    </row>
    <row r="130" spans="1:5" x14ac:dyDescent="0.25">
      <c r="A130" s="2"/>
      <c r="B130" s="3"/>
      <c r="C130" s="3"/>
      <c r="D130" s="7"/>
      <c r="E130" s="7"/>
    </row>
    <row r="131" spans="1:5" x14ac:dyDescent="0.25">
      <c r="A131" s="2"/>
      <c r="B131" s="3"/>
      <c r="C131" s="3"/>
      <c r="D131" s="7"/>
      <c r="E131" s="7"/>
    </row>
    <row r="132" spans="1:5" x14ac:dyDescent="0.25">
      <c r="A132" s="2"/>
      <c r="B132" s="3"/>
      <c r="C132" s="3"/>
      <c r="D132" s="7"/>
      <c r="E132" s="7"/>
    </row>
    <row r="133" spans="1:5" x14ac:dyDescent="0.25">
      <c r="A133" s="2"/>
      <c r="B133" s="3"/>
      <c r="C133" s="3"/>
      <c r="D133" s="7"/>
      <c r="E133" s="7"/>
    </row>
    <row r="134" spans="1:5" x14ac:dyDescent="0.25">
      <c r="A134" s="2"/>
      <c r="B134" s="3"/>
      <c r="C134" s="3"/>
      <c r="D134" s="7"/>
      <c r="E134" s="7"/>
    </row>
    <row r="135" spans="1:5" x14ac:dyDescent="0.25">
      <c r="A135" s="2"/>
      <c r="B135" s="3"/>
      <c r="C135" s="3"/>
      <c r="D135" s="7"/>
      <c r="E135" s="7"/>
    </row>
    <row r="136" spans="1:5" x14ac:dyDescent="0.25">
      <c r="A136" s="2"/>
      <c r="B136" s="3"/>
      <c r="C136" s="3"/>
      <c r="D136" s="7"/>
      <c r="E136" s="7"/>
    </row>
    <row r="137" spans="1:5" x14ac:dyDescent="0.25">
      <c r="A137" s="2"/>
      <c r="B137" s="3"/>
      <c r="C137" s="3"/>
      <c r="D137" s="7"/>
      <c r="E137" s="7"/>
    </row>
    <row r="138" spans="1:5" x14ac:dyDescent="0.25">
      <c r="A138" s="2"/>
      <c r="B138" s="3"/>
      <c r="C138" s="3"/>
      <c r="D138" s="7"/>
      <c r="E138" s="7"/>
    </row>
    <row r="139" spans="1:5" x14ac:dyDescent="0.25">
      <c r="A139" s="2"/>
      <c r="B139" s="3"/>
      <c r="C139" s="3"/>
      <c r="D139" s="7"/>
      <c r="E139" s="7"/>
    </row>
    <row r="140" spans="1:5" x14ac:dyDescent="0.25">
      <c r="A140" s="2"/>
      <c r="B140" s="3"/>
      <c r="C140" s="3"/>
      <c r="D140" s="7"/>
      <c r="E140" s="7"/>
    </row>
    <row r="141" spans="1:5" x14ac:dyDescent="0.25">
      <c r="A141" s="2"/>
      <c r="B141" s="3"/>
      <c r="C141" s="3"/>
      <c r="D141" s="7"/>
      <c r="E141" s="7"/>
    </row>
    <row r="142" spans="1:5" x14ac:dyDescent="0.25">
      <c r="A142" s="2"/>
      <c r="B142" s="3"/>
      <c r="C142" s="3"/>
      <c r="D142" s="7"/>
      <c r="E142" s="7"/>
    </row>
    <row r="143" spans="1:5" x14ac:dyDescent="0.25">
      <c r="A143" s="2"/>
      <c r="B143" s="3"/>
      <c r="C143" s="3"/>
      <c r="D143" s="7"/>
      <c r="E143" s="7"/>
    </row>
    <row r="144" spans="1:5" x14ac:dyDescent="0.25">
      <c r="A144" s="2"/>
      <c r="B144" s="3"/>
      <c r="C144" s="3"/>
      <c r="D144" s="7"/>
      <c r="E144" s="7"/>
    </row>
    <row r="145" spans="1:5" x14ac:dyDescent="0.25">
      <c r="A145" s="2"/>
      <c r="B145" s="3"/>
      <c r="C145" s="3"/>
      <c r="D145" s="7"/>
      <c r="E145" s="7"/>
    </row>
    <row r="146" spans="1:5" x14ac:dyDescent="0.25">
      <c r="A146" s="2"/>
      <c r="B146" s="3"/>
      <c r="C146" s="3"/>
      <c r="D146" s="7"/>
      <c r="E146" s="7"/>
    </row>
    <row r="147" spans="1:5" x14ac:dyDescent="0.25">
      <c r="A147" s="2"/>
      <c r="B147" s="3"/>
      <c r="C147" s="3"/>
      <c r="D147" s="7"/>
      <c r="E147" s="7"/>
    </row>
    <row r="148" spans="1:5" x14ac:dyDescent="0.25">
      <c r="A148" s="2"/>
      <c r="B148" s="3"/>
      <c r="C148" s="3"/>
      <c r="D148" s="7"/>
      <c r="E148" s="7"/>
    </row>
    <row r="149" spans="1:5" x14ac:dyDescent="0.25">
      <c r="A149" s="2"/>
      <c r="B149" s="3"/>
      <c r="C149" s="3"/>
      <c r="D149" s="7"/>
      <c r="E149" s="7"/>
    </row>
    <row r="150" spans="1:5" x14ac:dyDescent="0.25">
      <c r="A150" s="2"/>
      <c r="B150" s="3"/>
      <c r="C150" s="3"/>
      <c r="D150" s="7"/>
      <c r="E150" s="7"/>
    </row>
    <row r="151" spans="1:5" x14ac:dyDescent="0.25">
      <c r="A151" s="2"/>
      <c r="B151" s="3"/>
      <c r="C151" s="3"/>
      <c r="D151" s="7"/>
      <c r="E151" s="7"/>
    </row>
    <row r="152" spans="1:5" x14ac:dyDescent="0.25">
      <c r="A152" s="2"/>
      <c r="B152" s="3"/>
      <c r="C152" s="3"/>
      <c r="D152" s="7"/>
      <c r="E152" s="7"/>
    </row>
    <row r="153" spans="1:5" x14ac:dyDescent="0.25">
      <c r="A153" s="2"/>
      <c r="B153" s="3"/>
      <c r="C153" s="3"/>
      <c r="D153" s="7"/>
      <c r="E153" s="7"/>
    </row>
    <row r="154" spans="1:5" x14ac:dyDescent="0.25">
      <c r="A154" s="2"/>
      <c r="B154" s="3"/>
      <c r="C154" s="3"/>
      <c r="D154" s="7"/>
      <c r="E154" s="7"/>
    </row>
    <row r="155" spans="1:5" x14ac:dyDescent="0.25">
      <c r="A155" s="2"/>
      <c r="B155" s="3"/>
      <c r="C155" s="3"/>
      <c r="D155" s="7"/>
      <c r="E155" s="7"/>
    </row>
    <row r="156" spans="1:5" x14ac:dyDescent="0.25">
      <c r="A156" s="2"/>
      <c r="B156" s="3"/>
      <c r="C156" s="3"/>
      <c r="D156" s="7"/>
      <c r="E156" s="7"/>
    </row>
    <row r="157" spans="1:5" x14ac:dyDescent="0.25">
      <c r="A157" s="2"/>
      <c r="B157" s="3"/>
      <c r="C157" s="3"/>
      <c r="D157" s="7"/>
      <c r="E157" s="7"/>
    </row>
    <row r="158" spans="1:5" x14ac:dyDescent="0.25">
      <c r="A158" s="2"/>
      <c r="B158" s="3"/>
      <c r="C158" s="3"/>
      <c r="D158" s="7"/>
      <c r="E158" s="7"/>
    </row>
    <row r="159" spans="1:5" x14ac:dyDescent="0.25">
      <c r="A159" s="2"/>
      <c r="B159" s="3"/>
      <c r="C159" s="3"/>
      <c r="D159" s="7"/>
      <c r="E159" s="7"/>
    </row>
    <row r="160" spans="1:5" x14ac:dyDescent="0.25">
      <c r="A160" s="2"/>
      <c r="B160" s="3"/>
      <c r="C160" s="3"/>
      <c r="D160" s="7"/>
      <c r="E160" s="7"/>
    </row>
    <row r="161" spans="1:5" x14ac:dyDescent="0.25">
      <c r="A161" s="2"/>
      <c r="B161" s="3"/>
      <c r="C161" s="3"/>
      <c r="D161" s="7"/>
      <c r="E161" s="7"/>
    </row>
    <row r="162" spans="1:5" x14ac:dyDescent="0.25">
      <c r="A162" s="2"/>
      <c r="B162" s="3"/>
      <c r="C162" s="3"/>
      <c r="D162" s="7"/>
      <c r="E162" s="7"/>
    </row>
    <row r="163" spans="1:5" x14ac:dyDescent="0.25">
      <c r="A163" s="2"/>
      <c r="B163" s="3"/>
      <c r="C163" s="3"/>
      <c r="D163" s="7"/>
      <c r="E163" s="7"/>
    </row>
    <row r="164" spans="1:5" x14ac:dyDescent="0.25">
      <c r="A164" s="2"/>
      <c r="B164" s="3"/>
      <c r="C164" s="3"/>
      <c r="D164" s="7"/>
      <c r="E164" s="7"/>
    </row>
    <row r="165" spans="1:5" x14ac:dyDescent="0.25">
      <c r="A165" s="2"/>
      <c r="B165" s="3"/>
      <c r="C165" s="3"/>
      <c r="D165" s="7"/>
      <c r="E165" s="7"/>
    </row>
    <row r="166" spans="1:5" x14ac:dyDescent="0.25">
      <c r="A166" s="2"/>
      <c r="B166" s="3"/>
      <c r="C166" s="3"/>
      <c r="D166" s="7"/>
      <c r="E166" s="7"/>
    </row>
    <row r="167" spans="1:5" x14ac:dyDescent="0.25">
      <c r="A167" s="2"/>
      <c r="B167" s="3"/>
      <c r="C167" s="3"/>
      <c r="D167" s="7"/>
      <c r="E167" s="7"/>
    </row>
    <row r="168" spans="1:5" x14ac:dyDescent="0.25">
      <c r="A168" s="2"/>
      <c r="B168" s="3"/>
      <c r="C168" s="3"/>
      <c r="D168" s="7"/>
      <c r="E168" s="7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AAC7AC2-6F95-47AA-9843-150470A53A50}">
          <x14:formula1>
            <xm:f>Podatki!$A$2:$A$100</xm:f>
          </x14:formula1>
          <xm:sqref>A79:A105 A2:A77</xm:sqref>
        </x14:dataValidation>
        <x14:dataValidation type="list" allowBlank="1" showInputMessage="1" showErrorMessage="1" xr:uid="{6D11D7A5-7FA1-4A63-927D-C62E86383F8E}">
          <x14:formula1>
            <xm:f>Podatki!$E$2:$E$20</xm:f>
          </x14:formula1>
          <xm:sqref>C79:C98 C2:C77</xm:sqref>
        </x14:dataValidation>
        <x14:dataValidation type="list" allowBlank="1" showInputMessage="1" showErrorMessage="1" xr:uid="{828BEC23-E270-4212-B4B9-102EAB7F2A61}">
          <x14:formula1>
            <xm:f>Podatki!$E$2:$E$49</xm:f>
          </x14:formula1>
          <xm:sqref>C99:C105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B050"/>
    <pageSetUpPr fitToPage="1"/>
  </sheetPr>
  <dimension ref="A1:K168"/>
  <sheetViews>
    <sheetView zoomScaleNormal="100" workbookViewId="0">
      <pane ySplit="1" topLeftCell="A2" activePane="bottomLeft" state="frozen"/>
      <selection pane="bottomLeft" activeCell="M11" sqref="M11"/>
    </sheetView>
  </sheetViews>
  <sheetFormatPr defaultRowHeight="15" x14ac:dyDescent="0.25"/>
  <cols>
    <col min="1" max="1" width="10.28515625" customWidth="1"/>
    <col min="2" max="2" width="60.5703125" style="1" customWidth="1"/>
    <col min="3" max="3" width="9.28515625" style="1" customWidth="1"/>
    <col min="4" max="4" width="11.5703125" style="4" customWidth="1"/>
    <col min="5" max="5" width="10.85546875" style="4" customWidth="1"/>
    <col min="6" max="6" width="10.42578125" style="6" customWidth="1"/>
    <col min="7" max="7" width="9" style="6" customWidth="1"/>
    <col min="8" max="8" width="10.28515625" customWidth="1"/>
    <col min="9" max="9" width="11.42578125" customWidth="1"/>
    <col min="10" max="10" width="11.7109375" customWidth="1"/>
    <col min="11" max="11" width="12.5703125" customWidth="1"/>
  </cols>
  <sheetData>
    <row r="1" spans="1:11" s="5" customFormat="1" ht="67.5" customHeight="1" x14ac:dyDescent="0.25">
      <c r="A1" s="17" t="s">
        <v>15</v>
      </c>
      <c r="B1" s="17" t="s">
        <v>16</v>
      </c>
      <c r="C1" s="17" t="s">
        <v>37</v>
      </c>
      <c r="D1" s="17" t="s">
        <v>188</v>
      </c>
      <c r="E1" s="17" t="s">
        <v>189</v>
      </c>
      <c r="F1" s="18" t="s">
        <v>214</v>
      </c>
      <c r="G1" s="18" t="s">
        <v>215</v>
      </c>
      <c r="H1" s="18" t="s">
        <v>190</v>
      </c>
      <c r="I1" s="18" t="s">
        <v>187</v>
      </c>
      <c r="J1" s="19" t="s">
        <v>35</v>
      </c>
      <c r="K1" s="22" t="s">
        <v>44</v>
      </c>
    </row>
    <row r="2" spans="1:11" s="5" customFormat="1" ht="27.75" customHeight="1" x14ac:dyDescent="0.25">
      <c r="A2" s="71" t="s">
        <v>99</v>
      </c>
      <c r="B2" s="63" t="str">
        <f>INDEX(Seznam_klasifikacij[Naziv],MATCH(Tabela4[[#This Row],[Klas. št. ]],Seznam_klasifikacij[Klasifikacija],0))</f>
        <v>Klorovodikova kislina</v>
      </c>
      <c r="C2" s="89" t="s">
        <v>53</v>
      </c>
      <c r="D2" s="64">
        <f>SUMIFS(Tabela_vhod[Teža (kg)],Tabela_vhod[Klas. št. ],Tabela4[[#This Row],[Klas. št. ]],Tabela_vhod[Opomba],Tabela4[[#This Row],[Opomba]],Tabela_vhod[V skladišču],"DA")</f>
        <v>0</v>
      </c>
      <c r="E2" s="64">
        <f>COUNTIFS(Tabela_vhod[V skladišču],"DA",Tabela_vhod[Klas. št. ],Tabela4[[#This Row],[Klas. št. ]],Tabela_vhod[Opomba],Tabela4[[#This Row],[Opomba]])</f>
        <v>0</v>
      </c>
      <c r="F2" s="65">
        <f>SUMIFS(Tabela_vhod[Teža (kg)],Tabela_vhod[Klas. št. ],Tabela4[[#This Row],[Klas. št. ]],Tabela_vhod[Opomba],Tabela4[[#This Row],[Opomba]],Tabela_vhod[V skladišču],"DA",Tabela_vhod[Skladišno mesto],"Sklad-7")</f>
        <v>0</v>
      </c>
      <c r="G2" s="65">
        <f>COUNTIFS(Tabela_vhod[V skladišču],"DA",Tabela_vhod[Klas. št. ],Tabela4[[#This Row],[Klas. št. ]],Tabela_vhod[Opomba],Tabela4[[#This Row],[Opomba]],Tabela_vhod[Skladišno mesto],"Sklad-7")</f>
        <v>0</v>
      </c>
      <c r="H2" s="65">
        <f>SUMIFS(Tabela_vhod[Teža (kg)],Tabela_vhod[Klas. št. ],Tabela4[[#This Row],[Klas. št. ]],Tabela_vhod[Opomba],Tabela4[[#This Row],[Opomba]],Tabela_vhod[V skladišču],"DA",Tabela_vhod[Skladišno mesto],"Sklad-3")</f>
        <v>0</v>
      </c>
      <c r="I2" s="65">
        <f>COUNTIFS(Tabela_vhod[V skladišču],"DA",Tabela_vhod[Klas. št. ],Tabela4[[#This Row],[Klas. št. ]],Tabela_vhod[Opomba],Tabela4[[#This Row],[Opomba]],Tabela_vhod[Skladišno mesto],"Sklad-3")</f>
        <v>0</v>
      </c>
      <c r="J2" s="66">
        <f>_xlfn.MAXIFS(Tabela_vhod[Datum sprejema],Tabela_vhod[Klas. št. ],Tabela4[[#This Row],[Klas. št. ]],Tabela_vhod[Opomba],Tabela4[[#This Row],[Opomba]])</f>
        <v>0</v>
      </c>
      <c r="K2" s="66">
        <f>_xlfn.MAXIFS(Tabela_izhod[Datum izvoza],Tabela_izhod[Klas. št. ],Tabela4[[#This Row],[Klas. št. ]],Tabela_izhod[Opomba],Tabela4[[#This Row],[Opomba]])</f>
        <v>0</v>
      </c>
    </row>
    <row r="3" spans="1:11" s="2" customFormat="1" ht="30" customHeight="1" x14ac:dyDescent="0.25">
      <c r="A3" s="71" t="s">
        <v>101</v>
      </c>
      <c r="B3" s="63" t="str">
        <f>INDEX(Seznam_klasifikacij[Naziv],MATCH(Tabela4[[#This Row],[Klas. št. ]],Seznam_klasifikacij[Klasifikacija],0))</f>
        <v>Druge kisline</v>
      </c>
      <c r="C3" s="89" t="s">
        <v>53</v>
      </c>
      <c r="D3" s="64">
        <f>SUMIFS(Tabela_vhod[Teža (kg)],Tabela_vhod[Klas. št. ],Tabela4[[#This Row],[Klas. št. ]],Tabela_vhod[Opomba],Tabela4[[#This Row],[Opomba]],Tabela_vhod[V skladišču],"DA")</f>
        <v>161</v>
      </c>
      <c r="E3" s="64">
        <f>COUNTIFS(Tabela_vhod[V skladišču],"DA",Tabela_vhod[Klas. št. ],Tabela4[[#This Row],[Klas. št. ]],Tabela_vhod[Opomba],Tabela4[[#This Row],[Opomba]])</f>
        <v>1</v>
      </c>
      <c r="F3" s="65">
        <f>SUMIFS(Tabela_vhod[Teža (kg)],Tabela_vhod[Klas. št. ],Tabela4[[#This Row],[Klas. št. ]],Tabela_vhod[Opomba],Tabela4[[#This Row],[Opomba]],Tabela_vhod[V skladišču],"DA",Tabela_vhod[Skladišno mesto],"Sklad-7")</f>
        <v>161</v>
      </c>
      <c r="G3" s="65">
        <f>COUNTIFS(Tabela_vhod[V skladišču],"DA",Tabela_vhod[Klas. št. ],Tabela4[[#This Row],[Klas. št. ]],Tabela_vhod[Opomba],Tabela4[[#This Row],[Opomba]],Tabela_vhod[Skladišno mesto],"Sklad-7")</f>
        <v>1</v>
      </c>
      <c r="H3" s="65">
        <f>SUMIFS(Tabela_vhod[Teža (kg)],Tabela_vhod[Klas. št. ],Tabela4[[#This Row],[Klas. št. ]],Tabela_vhod[Opomba],Tabela4[[#This Row],[Opomba]],Tabela_vhod[V skladišču],"DA",Tabela_vhod[Skladišno mesto],"Sklad-3")</f>
        <v>0</v>
      </c>
      <c r="I3" s="65">
        <f>COUNTIFS(Tabela_vhod[V skladišču],"DA",Tabela_vhod[Klas. št. ],Tabela4[[#This Row],[Klas. št. ]],Tabela_vhod[Opomba],Tabela4[[#This Row],[Opomba]],Tabela_vhod[Skladišno mesto],"Sklad-3")</f>
        <v>0</v>
      </c>
      <c r="J3" s="66">
        <f>_xlfn.MAXIFS(Tabela_vhod[Datum sprejema],Tabela_vhod[Klas. št. ],Tabela4[[#This Row],[Klas. št. ]],Tabela_vhod[Opomba],Tabela4[[#This Row],[Opomba]])</f>
        <v>44114</v>
      </c>
      <c r="K3" s="66">
        <f>_xlfn.MAXIFS(Tabela_izhod[Datum izvoza],Tabela_izhod[Klas. št. ],Tabela4[[#This Row],[Klas. št. ]],Tabela_izhod[Opomba],Tabela4[[#This Row],[Opomba]])</f>
        <v>0</v>
      </c>
    </row>
    <row r="4" spans="1:11" s="2" customFormat="1" ht="30" customHeight="1" x14ac:dyDescent="0.25">
      <c r="A4" s="71" t="s">
        <v>101</v>
      </c>
      <c r="B4" s="63" t="str">
        <f>INDEX(Seznam_klasifikacij[Naziv],MATCH(Tabela4[[#This Row],[Klas. št. ]],Seznam_klasifikacij[Klasifikacija],0))</f>
        <v>Druge kisline</v>
      </c>
      <c r="C4" s="89" t="s">
        <v>181</v>
      </c>
      <c r="D4" s="64">
        <f>SUMIFS(Tabela_vhod[Teža (kg)],Tabela_vhod[Klas. št. ],Tabela4[[#This Row],[Klas. št. ]],Tabela_vhod[Opomba],Tabela4[[#This Row],[Opomba]],Tabela_vhod[V skladišču],"DA")</f>
        <v>0</v>
      </c>
      <c r="E4" s="64">
        <f>COUNTIFS(Tabela_vhod[V skladišču],"DA",Tabela_vhod[Klas. št. ],Tabela4[[#This Row],[Klas. št. ]],Tabela_vhod[Opomba],Tabela4[[#This Row],[Opomba]])</f>
        <v>0</v>
      </c>
      <c r="F4" s="65">
        <f>SUMIFS(Tabela_vhod[Teža (kg)],Tabela_vhod[Klas. št. ],Tabela4[[#This Row],[Klas. št. ]],Tabela_vhod[Opomba],Tabela4[[#This Row],[Opomba]],Tabela_vhod[V skladišču],"DA",Tabela_vhod[Skladišno mesto],"Sklad-7")</f>
        <v>0</v>
      </c>
      <c r="G4" s="65">
        <f>COUNTIFS(Tabela_vhod[V skladišču],"DA",Tabela_vhod[Klas. št. ],Tabela4[[#This Row],[Klas. št. ]],Tabela_vhod[Opomba],Tabela4[[#This Row],[Opomba]],Tabela_vhod[Skladišno mesto],"Sklad-7")</f>
        <v>0</v>
      </c>
      <c r="H4" s="65">
        <f>SUMIFS(Tabela_vhod[Teža (kg)],Tabela_vhod[Klas. št. ],Tabela4[[#This Row],[Klas. št. ]],Tabela_vhod[Opomba],Tabela4[[#This Row],[Opomba]],Tabela_vhod[V skladišču],"DA",Tabela_vhod[Skladišno mesto],"Sklad-3")</f>
        <v>0</v>
      </c>
      <c r="I4" s="65">
        <f>COUNTIFS(Tabela_vhod[V skladišču],"DA",Tabela_vhod[Klas. št. ],Tabela4[[#This Row],[Klas. št. ]],Tabela_vhod[Opomba],Tabela4[[#This Row],[Opomba]],Tabela_vhod[Skladišno mesto],"Sklad-3")</f>
        <v>0</v>
      </c>
      <c r="J4" s="66">
        <f>_xlfn.MAXIFS(Tabela_vhod[Datum sprejema],Tabela_vhod[Klas. št. ],Tabela4[[#This Row],[Klas. št. ]],Tabela_vhod[Opomba],Tabela4[[#This Row],[Opomba]])</f>
        <v>44114</v>
      </c>
      <c r="K4" s="66">
        <f>_xlfn.MAXIFS(Tabela_izhod[Datum izvoza],Tabela_izhod[Klas. št. ],Tabela4[[#This Row],[Klas. št. ]],Tabela_izhod[Opomba],Tabela4[[#This Row],[Opomba]])</f>
        <v>44145</v>
      </c>
    </row>
    <row r="5" spans="1:11" s="2" customFormat="1" ht="30" customHeight="1" x14ac:dyDescent="0.25">
      <c r="A5" s="71" t="s">
        <v>101</v>
      </c>
      <c r="B5" s="63" t="str">
        <f>INDEX(Seznam_klasifikacij[Naziv],MATCH(Tabela4[[#This Row],[Klas. št. ]],Seznam_klasifikacij[Klasifikacija],0))</f>
        <v>Druge kisline</v>
      </c>
      <c r="C5" s="89" t="s">
        <v>182</v>
      </c>
      <c r="D5" s="64">
        <f>SUMIFS(Tabela_vhod[Teža (kg)],Tabela_vhod[Klas. št. ],Tabela4[[#This Row],[Klas. št. ]],Tabela_vhod[Opomba],Tabela4[[#This Row],[Opomba]],Tabela_vhod[V skladišču],"DA")</f>
        <v>0</v>
      </c>
      <c r="E5" s="64">
        <f>COUNTIFS(Tabela_vhod[V skladišču],"DA",Tabela_vhod[Klas. št. ],Tabela4[[#This Row],[Klas. št. ]],Tabela_vhod[Opomba],Tabela4[[#This Row],[Opomba]])</f>
        <v>0</v>
      </c>
      <c r="F5" s="65">
        <f>SUMIFS(Tabela_vhod[Teža (kg)],Tabela_vhod[Klas. št. ],Tabela4[[#This Row],[Klas. št. ]],Tabela_vhod[Opomba],Tabela4[[#This Row],[Opomba]],Tabela_vhod[V skladišču],"DA",Tabela_vhod[Skladišno mesto],"Sklad-7")</f>
        <v>0</v>
      </c>
      <c r="G5" s="65">
        <f>COUNTIFS(Tabela_vhod[V skladišču],"DA",Tabela_vhod[Klas. št. ],Tabela4[[#This Row],[Klas. št. ]],Tabela_vhod[Opomba],Tabela4[[#This Row],[Opomba]],Tabela_vhod[Skladišno mesto],"Sklad-7")</f>
        <v>0</v>
      </c>
      <c r="H5" s="65">
        <f>SUMIFS(Tabela_vhod[Teža (kg)],Tabela_vhod[Klas. št. ],Tabela4[[#This Row],[Klas. št. ]],Tabela_vhod[Opomba],Tabela4[[#This Row],[Opomba]],Tabela_vhod[V skladišču],"DA",Tabela_vhod[Skladišno mesto],"Sklad-3")</f>
        <v>0</v>
      </c>
      <c r="I5" s="65">
        <f>COUNTIFS(Tabela_vhod[V skladišču],"DA",Tabela_vhod[Klas. št. ],Tabela4[[#This Row],[Klas. št. ]],Tabela_vhod[Opomba],Tabela4[[#This Row],[Opomba]],Tabela_vhod[Skladišno mesto],"Sklad-3")</f>
        <v>0</v>
      </c>
      <c r="J5" s="66">
        <f>_xlfn.MAXIFS(Tabela_vhod[Datum sprejema],Tabela_vhod[Klas. št. ],Tabela4[[#This Row],[Klas. št. ]],Tabela_vhod[Opomba],Tabela4[[#This Row],[Opomba]])</f>
        <v>0</v>
      </c>
      <c r="K5" s="66">
        <f>_xlfn.MAXIFS(Tabela_izhod[Datum izvoza],Tabela_izhod[Klas. št. ],Tabela4[[#This Row],[Klas. št. ]],Tabela_izhod[Opomba],Tabela4[[#This Row],[Opomba]])</f>
        <v>0</v>
      </c>
    </row>
    <row r="6" spans="1:11" s="2" customFormat="1" ht="30" customHeight="1" x14ac:dyDescent="0.25">
      <c r="A6" s="71" t="s">
        <v>101</v>
      </c>
      <c r="B6" s="63" t="str">
        <f>INDEX(Seznam_klasifikacij[Naziv],MATCH(Tabela4[[#This Row],[Klas. št. ]],Seznam_klasifikacij[Klasifikacija],0))</f>
        <v>Druge kisline</v>
      </c>
      <c r="C6" s="89" t="s">
        <v>183</v>
      </c>
      <c r="D6" s="64">
        <f>SUMIFS(Tabela_vhod[Teža (kg)],Tabela_vhod[Klas. št. ],Tabela4[[#This Row],[Klas. št. ]],Tabela_vhod[Opomba],Tabela4[[#This Row],[Opomba]],Tabela_vhod[V skladišču],"DA")</f>
        <v>0</v>
      </c>
      <c r="E6" s="64">
        <f>COUNTIFS(Tabela_vhod[V skladišču],"DA",Tabela_vhod[Klas. št. ],Tabela4[[#This Row],[Klas. št. ]],Tabela_vhod[Opomba],Tabela4[[#This Row],[Opomba]])</f>
        <v>0</v>
      </c>
      <c r="F6" s="65">
        <f>SUMIFS(Tabela_vhod[Teža (kg)],Tabela_vhod[Klas. št. ],Tabela4[[#This Row],[Klas. št. ]],Tabela_vhod[Opomba],Tabela4[[#This Row],[Opomba]],Tabela_vhod[V skladišču],"DA",Tabela_vhod[Skladišno mesto],"Sklad-7")</f>
        <v>0</v>
      </c>
      <c r="G6" s="65">
        <f>COUNTIFS(Tabela_vhod[V skladišču],"DA",Tabela_vhod[Klas. št. ],Tabela4[[#This Row],[Klas. št. ]],Tabela_vhod[Opomba],Tabela4[[#This Row],[Opomba]],Tabela_vhod[Skladišno mesto],"Sklad-7")</f>
        <v>0</v>
      </c>
      <c r="H6" s="65">
        <f>SUMIFS(Tabela_vhod[Teža (kg)],Tabela_vhod[Klas. št. ],Tabela4[[#This Row],[Klas. št. ]],Tabela_vhod[Opomba],Tabela4[[#This Row],[Opomba]],Tabela_vhod[V skladišču],"DA",Tabela_vhod[Skladišno mesto],"Sklad-3")</f>
        <v>0</v>
      </c>
      <c r="I6" s="65">
        <f>COUNTIFS(Tabela_vhod[V skladišču],"DA",Tabela_vhod[Klas. št. ],Tabela4[[#This Row],[Klas. št. ]],Tabela_vhod[Opomba],Tabela4[[#This Row],[Opomba]],Tabela_vhod[Skladišno mesto],"Sklad-3")</f>
        <v>0</v>
      </c>
      <c r="J6" s="66">
        <f>_xlfn.MAXIFS(Tabela_vhod[Datum sprejema],Tabela_vhod[Klas. št. ],Tabela4[[#This Row],[Klas. št. ]],Tabela_vhod[Opomba],Tabela4[[#This Row],[Opomba]])</f>
        <v>0</v>
      </c>
      <c r="K6" s="66">
        <f>_xlfn.MAXIFS(Tabela_izhod[Datum izvoza],Tabela_izhod[Klas. št. ],Tabela4[[#This Row],[Klas. št. ]],Tabela_izhod[Opomba],Tabela4[[#This Row],[Opomba]])</f>
        <v>0</v>
      </c>
    </row>
    <row r="7" spans="1:11" s="2" customFormat="1" ht="30" customHeight="1" x14ac:dyDescent="0.25">
      <c r="A7" s="71" t="s">
        <v>103</v>
      </c>
      <c r="B7" s="63" t="str">
        <f>INDEX(Seznam_klasifikacij[Naziv],MATCH(Tabela4[[#This Row],[Klas. št. ]],Seznam_klasifikacij[Klasifikacija],0))</f>
        <v>Drugi lugi</v>
      </c>
      <c r="C7" s="89" t="s">
        <v>53</v>
      </c>
      <c r="D7" s="64">
        <f>SUMIFS(Tabela_vhod[Teža (kg)],Tabela_vhod[Klas. št. ],Tabela4[[#This Row],[Klas. št. ]],Tabela_vhod[Opomba],Tabela4[[#This Row],[Opomba]],Tabela_vhod[V skladišču],"DA")</f>
        <v>240</v>
      </c>
      <c r="E7" s="64">
        <f>COUNTIFS(Tabela_vhod[V skladišču],"DA",Tabela_vhod[Klas. št. ],Tabela4[[#This Row],[Klas. št. ]],Tabela_vhod[Opomba],Tabela4[[#This Row],[Opomba]])</f>
        <v>1</v>
      </c>
      <c r="F7" s="65">
        <f>SUMIFS(Tabela_vhod[Teža (kg)],Tabela_vhod[Klas. št. ],Tabela4[[#This Row],[Klas. št. ]],Tabela_vhod[Opomba],Tabela4[[#This Row],[Opomba]],Tabela_vhod[V skladišču],"DA",Tabela_vhod[Skladišno mesto],"Sklad-7")</f>
        <v>240</v>
      </c>
      <c r="G7" s="65">
        <f>COUNTIFS(Tabela_vhod[V skladišču],"DA",Tabela_vhod[Klas. št. ],Tabela4[[#This Row],[Klas. št. ]],Tabela_vhod[Opomba],Tabela4[[#This Row],[Opomba]],Tabela_vhod[Skladišno mesto],"Sklad-7")</f>
        <v>1</v>
      </c>
      <c r="H7" s="65">
        <f>SUMIFS(Tabela_vhod[Teža (kg)],Tabela_vhod[Klas. št. ],Tabela4[[#This Row],[Klas. št. ]],Tabela_vhod[Opomba],Tabela4[[#This Row],[Opomba]],Tabela_vhod[V skladišču],"DA",Tabela_vhod[Skladišno mesto],"Sklad-3")</f>
        <v>0</v>
      </c>
      <c r="I7" s="65">
        <f>COUNTIFS(Tabela_vhod[V skladišču],"DA",Tabela_vhod[Klas. št. ],Tabela4[[#This Row],[Klas. št. ]],Tabela_vhod[Opomba],Tabela4[[#This Row],[Opomba]],Tabela_vhod[Skladišno mesto],"Sklad-3")</f>
        <v>0</v>
      </c>
      <c r="J7" s="66">
        <f>_xlfn.MAXIFS(Tabela_vhod[Datum sprejema],Tabela_vhod[Klas. št. ],Tabela4[[#This Row],[Klas. št. ]],Tabela_vhod[Opomba],Tabela4[[#This Row],[Opomba]])</f>
        <v>44114</v>
      </c>
      <c r="K7" s="66">
        <f>_xlfn.MAXIFS(Tabela_izhod[Datum izvoza],Tabela_izhod[Klas. št. ],Tabela4[[#This Row],[Klas. št. ]],Tabela_izhod[Opomba],Tabela4[[#This Row],[Opomba]])</f>
        <v>44145</v>
      </c>
    </row>
    <row r="8" spans="1:11" s="2" customFormat="1" ht="30" customHeight="1" x14ac:dyDescent="0.25">
      <c r="A8" s="27" t="s">
        <v>56</v>
      </c>
      <c r="B8" s="28" t="str">
        <f>INDEX(Seznam_klasifikacij[Naziv],MATCH(Tabela4[[#This Row],[Klas. št. ]],Seznam_klasifikacij[Klasifikacija],0))</f>
        <v xml:space="preserve">Trdne soli in raztopine, ki vsebujejo težke kovine </v>
      </c>
      <c r="C8" s="89" t="s">
        <v>53</v>
      </c>
      <c r="D8" s="28">
        <f>SUMIFS(Tabela_vhod[Teža (kg)],Tabela_vhod[Klas. št. ],Tabela4[[#This Row],[Klas. št. ]],Tabela_vhod[Opomba],Tabela4[[#This Row],[Opomba]],Tabela_vhod[V skladišču],"DA")</f>
        <v>0</v>
      </c>
      <c r="E8" s="28">
        <f>COUNTIFS(Tabela_vhod[V skladišču],"DA",Tabela_vhod[Klas. št. ],Tabela4[[#This Row],[Klas. št. ]],Tabela_vhod[Opomba],Tabela4[[#This Row],[Opomba]])</f>
        <v>0</v>
      </c>
      <c r="F8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8" s="20">
        <f>COUNTIFS(Tabela_vhod[V skladišču],"DA",Tabela_vhod[Klas. št. ],Tabela4[[#This Row],[Klas. št. ]],Tabela_vhod[Opomba],Tabela4[[#This Row],[Opomba]],Tabela_vhod[Skladišno mesto],"Sklad-7")</f>
        <v>0</v>
      </c>
      <c r="H8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8" s="20">
        <f>COUNTIFS(Tabela_vhod[V skladišču],"DA",Tabela_vhod[Klas. št. ],Tabela4[[#This Row],[Klas. št. ]],Tabela_vhod[Opomba],Tabela4[[#This Row],[Opomba]],Tabela_vhod[Skladišno mesto],"Sklad-3")</f>
        <v>0</v>
      </c>
      <c r="J8" s="21">
        <f>_xlfn.MAXIFS(Tabela_vhod[Datum sprejema],Tabela_vhod[Klas. št. ],Tabela4[[#This Row],[Klas. št. ]],Tabela_vhod[Opomba],Tabela4[[#This Row],[Opomba]])</f>
        <v>44039</v>
      </c>
      <c r="K8" s="21">
        <f>_xlfn.MAXIFS(Tabela_izhod[Datum izvoza],Tabela_izhod[Klas. št. ],Tabela4[[#This Row],[Klas. št. ]],Tabela_izhod[Opomba],Tabela4[[#This Row],[Opomba]])</f>
        <v>44053</v>
      </c>
    </row>
    <row r="9" spans="1:11" s="2" customFormat="1" ht="30" customHeight="1" x14ac:dyDescent="0.25">
      <c r="A9" s="27" t="s">
        <v>105</v>
      </c>
      <c r="B9" s="30" t="str">
        <f>INDEX(Seznam_klasifikacij[Naziv],MATCH(Tabela4[[#This Row],[Klas. št. ]],Seznam_klasifikacij[Klasifikacija],0))</f>
        <v>Drugi ostanki iz destilacij in kemijskih reakcij</v>
      </c>
      <c r="C9" s="89" t="s">
        <v>53</v>
      </c>
      <c r="D9" s="28">
        <f>SUMIFS(Tabela_vhod[Teža (kg)],Tabela_vhod[Klas. št. ],Tabela4[[#This Row],[Klas. št. ]],Tabela_vhod[Opomba],Tabela4[[#This Row],[Opomba]],Tabela_vhod[V skladišču],"DA")</f>
        <v>0</v>
      </c>
      <c r="E9" s="28">
        <f>COUNTIFS(Tabela_vhod[V skladišču],"DA",Tabela_vhod[Klas. št. ],Tabela4[[#This Row],[Klas. št. ]],Tabela_vhod[Opomba],Tabela4[[#This Row],[Opomba]])</f>
        <v>0</v>
      </c>
      <c r="F9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9" s="20">
        <f>COUNTIFS(Tabela_vhod[V skladišču],"DA",Tabela_vhod[Klas. št. ],Tabela4[[#This Row],[Klas. št. ]],Tabela_vhod[Opomba],Tabela4[[#This Row],[Opomba]],Tabela_vhod[Skladišno mesto],"Sklad-7")</f>
        <v>0</v>
      </c>
      <c r="H9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9" s="20">
        <f>COUNTIFS(Tabela_vhod[V skladišču],"DA",Tabela_vhod[Klas. št. ],Tabela4[[#This Row],[Klas. št. ]],Tabela_vhod[Opomba],Tabela4[[#This Row],[Opomba]],Tabela_vhod[Skladišno mesto],"Sklad-3")</f>
        <v>0</v>
      </c>
      <c r="J9" s="21">
        <f>_xlfn.MAXIFS(Tabela_vhod[Datum sprejema],Tabela_vhod[Klas. št. ],Tabela4[[#This Row],[Klas. št. ]],Tabela_vhod[Opomba],Tabela4[[#This Row],[Opomba]])</f>
        <v>0</v>
      </c>
      <c r="K9" s="21">
        <f>_xlfn.MAXIFS(Tabela_izhod[Datum izvoza],Tabela_izhod[Klas. št. ],Tabela4[[#This Row],[Klas. št. ]],Tabela_izhod[Opomba],Tabela4[[#This Row],[Opomba]])</f>
        <v>0</v>
      </c>
    </row>
    <row r="10" spans="1:11" s="2" customFormat="1" ht="30" customHeight="1" x14ac:dyDescent="0.25">
      <c r="A10" s="27" t="s">
        <v>92</v>
      </c>
      <c r="B10" s="30" t="str">
        <f>INDEX(Seznam_klasifikacij[Naziv],MATCH(Tabela4[[#This Row],[Klas. št. ]],Seznam_klasifikacij[Klasifikacija],0))</f>
        <v>Odpadna plastika</v>
      </c>
      <c r="C10" s="89" t="s">
        <v>53</v>
      </c>
      <c r="D10" s="28">
        <f>SUMIFS(Tabela_vhod[Teža (kg)],Tabela_vhod[Klas. št. ],Tabela4[[#This Row],[Klas. št. ]],Tabela_vhod[Opomba],Tabela4[[#This Row],[Opomba]],Tabela_vhod[V skladišču],"DA")</f>
        <v>4</v>
      </c>
      <c r="E10" s="28">
        <f>COUNTIFS(Tabela_vhod[V skladišču],"DA",Tabela_vhod[Klas. št. ],Tabela4[[#This Row],[Klas. št. ]],Tabela_vhod[Opomba],Tabela4[[#This Row],[Opomba]])</f>
        <v>4</v>
      </c>
      <c r="F10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10" s="20">
        <f>COUNTIFS(Tabela_vhod[V skladišču],"DA",Tabela_vhod[Klas. št. ],Tabela4[[#This Row],[Klas. št. ]],Tabela_vhod[Opomba],Tabela4[[#This Row],[Opomba]],Tabela_vhod[Skladišno mesto],"Sklad-7")</f>
        <v>0</v>
      </c>
      <c r="H10" s="20">
        <f>SUMIFS(Tabela_vhod[Teža (kg)],Tabela_vhod[Klas. št. ],Tabela4[[#This Row],[Klas. št. ]],Tabela_vhod[Opomba],Tabela4[[#This Row],[Opomba]],Tabela_vhod[V skladišču],"DA",Tabela_vhod[Skladišno mesto],"Sklad-3")</f>
        <v>4</v>
      </c>
      <c r="I10" s="20">
        <f>COUNTIFS(Tabela_vhod[V skladišču],"DA",Tabela_vhod[Klas. št. ],Tabela4[[#This Row],[Klas. št. ]],Tabela_vhod[Opomba],Tabela4[[#This Row],[Opomba]],Tabela_vhod[Skladišno mesto],"Sklad-3")</f>
        <v>4</v>
      </c>
      <c r="J10" s="21">
        <f>_xlfn.MAXIFS(Tabela_vhod[Datum sprejema],Tabela_vhod[Klas. št. ],Tabela4[[#This Row],[Klas. št. ]],Tabela_vhod[Opomba],Tabela4[[#This Row],[Opomba]])</f>
        <v>44151</v>
      </c>
      <c r="K10" s="21">
        <f>_xlfn.MAXIFS(Tabela_izhod[Datum izvoza],Tabela_izhod[Klas. št. ],Tabela4[[#This Row],[Klas. št. ]],Tabela_izhod[Opomba],Tabela4[[#This Row],[Opomba]])</f>
        <v>44110</v>
      </c>
    </row>
    <row r="11" spans="1:11" s="2" customFormat="1" ht="30" customHeight="1" x14ac:dyDescent="0.25">
      <c r="A11" s="27" t="s">
        <v>9</v>
      </c>
      <c r="B11" s="30" t="str">
        <f>INDEX(Seznam_klasifikacij[Naziv],MATCH(Tabela4[[#This Row],[Klas. št. ]],Seznam_klasifikacij[Klasifikacija],0))</f>
        <v xml:space="preserve">Odpadni aditivi, ki vsebujejo nevarne snovi </v>
      </c>
      <c r="C11" s="89" t="s">
        <v>46</v>
      </c>
      <c r="D11" s="28">
        <f>SUMIFS(Tabela_vhod[Teža (kg)],Tabela_vhod[Klas. št. ],Tabela4[[#This Row],[Klas. št. ]],Tabela_vhod[Opomba],Tabela4[[#This Row],[Opomba]],Tabela_vhod[V skladišču],"DA")</f>
        <v>0</v>
      </c>
      <c r="E11" s="28">
        <f>COUNTIFS(Tabela_vhod[V skladišču],"DA",Tabela_vhod[Klas. št. ],Tabela4[[#This Row],[Klas. št. ]],Tabela_vhod[Opomba],Tabela4[[#This Row],[Opomba]])</f>
        <v>0</v>
      </c>
      <c r="F11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11" s="20">
        <f>COUNTIFS(Tabela_vhod[V skladišču],"DA",Tabela_vhod[Klas. št. ],Tabela4[[#This Row],[Klas. št. ]],Tabela_vhod[Opomba],Tabela4[[#This Row],[Opomba]],Tabela_vhod[Skladišno mesto],"Sklad-7")</f>
        <v>0</v>
      </c>
      <c r="H11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11" s="20">
        <f>COUNTIFS(Tabela_vhod[V skladišču],"DA",Tabela_vhod[Klas. št. ],Tabela4[[#This Row],[Klas. št. ]],Tabela_vhod[Opomba],Tabela4[[#This Row],[Opomba]],Tabela_vhod[Skladišno mesto],"Sklad-3")</f>
        <v>0</v>
      </c>
      <c r="J11" s="21">
        <f>_xlfn.MAXIFS(Tabela_vhod[Datum sprejema],Tabela_vhod[Klas. št. ],Tabela4[[#This Row],[Klas. št. ]],Tabela_vhod[Opomba],Tabela4[[#This Row],[Opomba]])</f>
        <v>44039</v>
      </c>
      <c r="K11" s="21">
        <f>_xlfn.MAXIFS(Tabela_izhod[Datum izvoza],Tabela_izhod[Klas. št. ],Tabela4[[#This Row],[Klas. št. ]],Tabela_izhod[Opomba],Tabela4[[#This Row],[Opomba]])</f>
        <v>44075</v>
      </c>
    </row>
    <row r="12" spans="1:11" s="2" customFormat="1" ht="30" customHeight="1" x14ac:dyDescent="0.25">
      <c r="A12" s="27" t="s">
        <v>9</v>
      </c>
      <c r="B12" s="28" t="str">
        <f>INDEX(Seznam_klasifikacij[Naziv],MATCH(Tabela4[[#This Row],[Klas. št. ]],Seznam_klasifikacij[Klasifikacija],0))</f>
        <v xml:space="preserve">Odpadni aditivi, ki vsebujejo nevarne snovi </v>
      </c>
      <c r="C12" s="89" t="s">
        <v>53</v>
      </c>
      <c r="D12" s="28">
        <f>SUMIFS(Tabela_vhod[Teža (kg)],Tabela_vhod[Klas. št. ],Tabela4[[#This Row],[Klas. št. ]],Tabela_vhod[Opomba],Tabela4[[#This Row],[Opomba]],Tabela_vhod[V skladišču],"DA")</f>
        <v>0</v>
      </c>
      <c r="E12" s="28">
        <f>COUNTIFS(Tabela_vhod[V skladišču],"DA",Tabela_vhod[Klas. št. ],Tabela4[[#This Row],[Klas. št. ]],Tabela_vhod[Opomba],Tabela4[[#This Row],[Opomba]])</f>
        <v>0</v>
      </c>
      <c r="F12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12" s="20">
        <f>COUNTIFS(Tabela_vhod[V skladišču],"DA",Tabela_vhod[Klas. št. ],Tabela4[[#This Row],[Klas. št. ]],Tabela_vhod[Opomba],Tabela4[[#This Row],[Opomba]],Tabela_vhod[Skladišno mesto],"Sklad-7")</f>
        <v>0</v>
      </c>
      <c r="H12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12" s="20">
        <f>COUNTIFS(Tabela_vhod[V skladišču],"DA",Tabela_vhod[Klas. št. ],Tabela4[[#This Row],[Klas. št. ]],Tabela_vhod[Opomba],Tabela4[[#This Row],[Opomba]],Tabela_vhod[Skladišno mesto],"Sklad-3")</f>
        <v>0</v>
      </c>
      <c r="J12" s="21">
        <f>_xlfn.MAXIFS(Tabela_vhod[Datum sprejema],Tabela_vhod[Klas. št. ],Tabela4[[#This Row],[Klas. št. ]],Tabela_vhod[Opomba],Tabela4[[#This Row],[Opomba]])</f>
        <v>0</v>
      </c>
      <c r="K12" s="21">
        <f>_xlfn.MAXIFS(Tabela_izhod[Datum izvoza],Tabela_izhod[Klas. št. ],Tabela4[[#This Row],[Klas. št. ]],Tabela_izhod[Opomba],Tabela4[[#This Row],[Opomba]])</f>
        <v>0</v>
      </c>
    </row>
    <row r="13" spans="1:11" s="2" customFormat="1" ht="30" customHeight="1" x14ac:dyDescent="0.25">
      <c r="A13" s="27" t="s">
        <v>107</v>
      </c>
      <c r="B13" s="30" t="str">
        <f>INDEX(Seznam_klasifikacij[Naziv],MATCH(Tabela4[[#This Row],[Klas. št. ]],Seznam_klasifikacij[Klasifikacija],0))</f>
        <v>Vodne pralne raztopine in matične lužnice</v>
      </c>
      <c r="C13" s="89" t="s">
        <v>53</v>
      </c>
      <c r="D13" s="28">
        <f>SUMIFS(Tabela_vhod[Teža (kg)],Tabela_vhod[Klas. št. ],Tabela4[[#This Row],[Klas. št. ]],Tabela_vhod[Opomba],Tabela4[[#This Row],[Opomba]],Tabela_vhod[V skladišču],"DA")</f>
        <v>0</v>
      </c>
      <c r="E13" s="28">
        <f>COUNTIFS(Tabela_vhod[V skladišču],"DA",Tabela_vhod[Klas. št. ],Tabela4[[#This Row],[Klas. št. ]],Tabela_vhod[Opomba],Tabela4[[#This Row],[Opomba]])</f>
        <v>0</v>
      </c>
      <c r="F13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13" s="20">
        <f>COUNTIFS(Tabela_vhod[V skladišču],"DA",Tabela_vhod[Klas. št. ],Tabela4[[#This Row],[Klas. št. ]],Tabela_vhod[Opomba],Tabela4[[#This Row],[Opomba]],Tabela_vhod[Skladišno mesto],"Sklad-7")</f>
        <v>0</v>
      </c>
      <c r="H13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13" s="20">
        <f>COUNTIFS(Tabela_vhod[V skladišču],"DA",Tabela_vhod[Klas. št. ],Tabela4[[#This Row],[Klas. št. ]],Tabela_vhod[Opomba],Tabela4[[#This Row],[Opomba]],Tabela_vhod[Skladišno mesto],"Sklad-3")</f>
        <v>0</v>
      </c>
      <c r="J13" s="21">
        <f>_xlfn.MAXIFS(Tabela_vhod[Datum sprejema],Tabela_vhod[Klas. št. ],Tabela4[[#This Row],[Klas. št. ]],Tabela_vhod[Opomba],Tabela4[[#This Row],[Opomba]])</f>
        <v>0</v>
      </c>
      <c r="K13" s="21">
        <f>_xlfn.MAXIFS(Tabela_izhod[Datum izvoza],Tabela_izhod[Klas. št. ],Tabela4[[#This Row],[Klas. št. ]],Tabela_izhod[Opomba],Tabela4[[#This Row],[Opomba]])</f>
        <v>0</v>
      </c>
    </row>
    <row r="14" spans="1:11" s="2" customFormat="1" ht="30" customHeight="1" x14ac:dyDescent="0.25">
      <c r="A14" s="27" t="s">
        <v>109</v>
      </c>
      <c r="B14" s="30" t="str">
        <f>INDEX(Seznam_klasifikacij[Naziv],MATCH(Tabela4[[#This Row],[Klas. št. ]],Seznam_klasifikacij[Klasifikacija],0))</f>
        <v>Druga organska topila, pralne tekočine in matične lužnice</v>
      </c>
      <c r="C14" s="89" t="s">
        <v>53</v>
      </c>
      <c r="D14" s="28">
        <f>SUMIFS(Tabela_vhod[Teža (kg)],Tabela_vhod[Klas. št. ],Tabela4[[#This Row],[Klas. št. ]],Tabela_vhod[Opomba],Tabela4[[#This Row],[Opomba]],Tabela_vhod[V skladišču],"DA")</f>
        <v>0</v>
      </c>
      <c r="E14" s="28">
        <f>COUNTIFS(Tabela_vhod[V skladišču],"DA",Tabela_vhod[Klas. št. ],Tabela4[[#This Row],[Klas. št. ]],Tabela_vhod[Opomba],Tabela4[[#This Row],[Opomba]])</f>
        <v>0</v>
      </c>
      <c r="F14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14" s="20">
        <f>COUNTIFS(Tabela_vhod[V skladišču],"DA",Tabela_vhod[Klas. št. ],Tabela4[[#This Row],[Klas. št. ]],Tabela_vhod[Opomba],Tabela4[[#This Row],[Opomba]],Tabela_vhod[Skladišno mesto],"Sklad-7")</f>
        <v>0</v>
      </c>
      <c r="H14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14" s="20">
        <f>COUNTIFS(Tabela_vhod[V skladišču],"DA",Tabela_vhod[Klas. št. ],Tabela4[[#This Row],[Klas. št. ]],Tabela_vhod[Opomba],Tabela4[[#This Row],[Opomba]],Tabela_vhod[Skladišno mesto],"Sklad-3")</f>
        <v>0</v>
      </c>
      <c r="J14" s="21">
        <f>_xlfn.MAXIFS(Tabela_vhod[Datum sprejema],Tabela_vhod[Klas. št. ],Tabela4[[#This Row],[Klas. št. ]],Tabela_vhod[Opomba],Tabela4[[#This Row],[Opomba]])</f>
        <v>0</v>
      </c>
      <c r="K14" s="21">
        <f>_xlfn.MAXIFS(Tabela_izhod[Datum izvoza],Tabela_izhod[Klas. št. ],Tabela4[[#This Row],[Klas. št. ]],Tabela_izhod[Opomba],Tabela4[[#This Row],[Opomba]])</f>
        <v>0</v>
      </c>
    </row>
    <row r="15" spans="1:11" s="2" customFormat="1" ht="30" customHeight="1" x14ac:dyDescent="0.25">
      <c r="A15" s="27" t="s">
        <v>24</v>
      </c>
      <c r="B15" s="28" t="str">
        <f>INDEX(Seznam_klasifikacij[Naziv],MATCH(Tabela4[[#This Row],[Klas. št. ]],Seznam_klasifikacij[Klasifikacija],0))</f>
        <v xml:space="preserve">Vodni mulji barv ali lakov, ki vsebujejo organska topila ali druge nevarne snovi </v>
      </c>
      <c r="C15" s="89" t="s">
        <v>53</v>
      </c>
      <c r="D15" s="28">
        <f>SUMIFS(Tabela_vhod[Teža (kg)],Tabela_vhod[Klas. št. ],Tabela4[[#This Row],[Klas. št. ]],Tabela_vhod[Opomba],Tabela4[[#This Row],[Opomba]],Tabela_vhod[V skladišču],"DA")</f>
        <v>0</v>
      </c>
      <c r="E15" s="28">
        <f>COUNTIFS(Tabela_vhod[V skladišču],"DA",Tabela_vhod[Klas. št. ],Tabela4[[#This Row],[Klas. št. ]],Tabela_vhod[Opomba],Tabela4[[#This Row],[Opomba]])</f>
        <v>0</v>
      </c>
      <c r="F15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15" s="20">
        <f>COUNTIFS(Tabela_vhod[V skladišču],"DA",Tabela_vhod[Klas. št. ],Tabela4[[#This Row],[Klas. št. ]],Tabela_vhod[Opomba],Tabela4[[#This Row],[Opomba]],Tabela_vhod[Skladišno mesto],"Sklad-7")</f>
        <v>0</v>
      </c>
      <c r="H15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15" s="20">
        <f>COUNTIFS(Tabela_vhod[V skladišču],"DA",Tabela_vhod[Klas. št. ],Tabela4[[#This Row],[Klas. št. ]],Tabela_vhod[Opomba],Tabela4[[#This Row],[Opomba]],Tabela_vhod[Skladišno mesto],"Sklad-3")</f>
        <v>0</v>
      </c>
      <c r="J15" s="21">
        <f>_xlfn.MAXIFS(Tabela_vhod[Datum sprejema],Tabela_vhod[Klas. št. ],Tabela4[[#This Row],[Klas. št. ]],Tabela_vhod[Opomba],Tabela4[[#This Row],[Opomba]])</f>
        <v>44039</v>
      </c>
      <c r="K15" s="21">
        <f>_xlfn.MAXIFS(Tabela_izhod[Datum izvoza],Tabela_izhod[Klas. št. ],Tabela4[[#This Row],[Klas. št. ]],Tabela_izhod[Opomba],Tabela4[[#This Row],[Opomba]])</f>
        <v>44049</v>
      </c>
    </row>
    <row r="16" spans="1:11" s="2" customFormat="1" ht="30" customHeight="1" x14ac:dyDescent="0.25">
      <c r="A16" s="27" t="s">
        <v>111</v>
      </c>
      <c r="B16" s="30" t="str">
        <f>INDEX(Seznam_klasifikacij[Naziv],MATCH(Tabela4[[#This Row],[Klas. št. ]],Seznam_klasifikacij[Klasifikacija],0))</f>
        <v>Odpadki iz odstranjevanja barv ali lakov, ki vsebujejo organska topila ali druge nevarne snovi</v>
      </c>
      <c r="C16" s="89" t="s">
        <v>53</v>
      </c>
      <c r="D16" s="28">
        <f>SUMIFS(Tabela_vhod[Teža (kg)],Tabela_vhod[Klas. št. ],Tabela4[[#This Row],[Klas. št. ]],Tabela_vhod[Opomba],Tabela4[[#This Row],[Opomba]],Tabela_vhod[V skladišču],"DA")</f>
        <v>0</v>
      </c>
      <c r="E16" s="28">
        <f>COUNTIFS(Tabela_vhod[V skladišču],"DA",Tabela_vhod[Klas. št. ],Tabela4[[#This Row],[Klas. št. ]],Tabela_vhod[Opomba],Tabela4[[#This Row],[Opomba]])</f>
        <v>0</v>
      </c>
      <c r="F16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16" s="20">
        <f>COUNTIFS(Tabela_vhod[V skladišču],"DA",Tabela_vhod[Klas. št. ],Tabela4[[#This Row],[Klas. št. ]],Tabela_vhod[Opomba],Tabela4[[#This Row],[Opomba]],Tabela_vhod[Skladišno mesto],"Sklad-7")</f>
        <v>0</v>
      </c>
      <c r="H16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16" s="20">
        <f>COUNTIFS(Tabela_vhod[V skladišču],"DA",Tabela_vhod[Klas. št. ],Tabela4[[#This Row],[Klas. št. ]],Tabela_vhod[Opomba],Tabela4[[#This Row],[Opomba]],Tabela_vhod[Skladišno mesto],"Sklad-3")</f>
        <v>0</v>
      </c>
      <c r="J16" s="21">
        <f>_xlfn.MAXIFS(Tabela_vhod[Datum sprejema],Tabela_vhod[Klas. št. ],Tabela4[[#This Row],[Klas. št. ]],Tabela_vhod[Opomba],Tabela4[[#This Row],[Opomba]])</f>
        <v>0</v>
      </c>
      <c r="K16" s="21">
        <f>_xlfn.MAXIFS(Tabela_izhod[Datum izvoza],Tabela_izhod[Klas. št. ],Tabela4[[#This Row],[Klas. št. ]],Tabela_izhod[Opomba],Tabela4[[#This Row],[Opomba]])</f>
        <v>0</v>
      </c>
    </row>
    <row r="17" spans="1:11" s="2" customFormat="1" ht="30" customHeight="1" x14ac:dyDescent="0.25">
      <c r="A17" s="27" t="s">
        <v>113</v>
      </c>
      <c r="B17" s="30" t="str">
        <f>INDEX(Seznam_klasifikacij[Naziv],MATCH(Tabela4[[#This Row],[Klas. št. ]],Seznam_klasifikacij[Klasifikacija],0))</f>
        <v>Vodne suspenzije, ki vsebujejo barve in lake, ki vsebujejo organska topila ali druge nevarne snovi</v>
      </c>
      <c r="C17" s="89" t="s">
        <v>53</v>
      </c>
      <c r="D17" s="28">
        <f>SUMIFS(Tabela_vhod[Teža (kg)],Tabela_vhod[Klas. št. ],Tabela4[[#This Row],[Klas. št. ]],Tabela_vhod[Opomba],Tabela4[[#This Row],[Opomba]],Tabela_vhod[V skladišču],"DA")</f>
        <v>0</v>
      </c>
      <c r="E17" s="28">
        <f>COUNTIFS(Tabela_vhod[V skladišču],"DA",Tabela_vhod[Klas. št. ],Tabela4[[#This Row],[Klas. št. ]],Tabela_vhod[Opomba],Tabela4[[#This Row],[Opomba]])</f>
        <v>0</v>
      </c>
      <c r="F17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17" s="20">
        <f>COUNTIFS(Tabela_vhod[V skladišču],"DA",Tabela_vhod[Klas. št. ],Tabela4[[#This Row],[Klas. št. ]],Tabela_vhod[Opomba],Tabela4[[#This Row],[Opomba]],Tabela_vhod[Skladišno mesto],"Sklad-7")</f>
        <v>0</v>
      </c>
      <c r="H17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17" s="20">
        <f>COUNTIFS(Tabela_vhod[V skladišču],"DA",Tabela_vhod[Klas. št. ],Tabela4[[#This Row],[Klas. št. ]],Tabela_vhod[Opomba],Tabela4[[#This Row],[Opomba]],Tabela_vhod[Skladišno mesto],"Sklad-3")</f>
        <v>0</v>
      </c>
      <c r="J17" s="21">
        <f>_xlfn.MAXIFS(Tabela_vhod[Datum sprejema],Tabela_vhod[Klas. št. ],Tabela4[[#This Row],[Klas. št. ]],Tabela_vhod[Opomba],Tabela4[[#This Row],[Opomba]])</f>
        <v>0</v>
      </c>
      <c r="K17" s="21">
        <f>_xlfn.MAXIFS(Tabela_izhod[Datum izvoza],Tabela_izhod[Klas. št. ],Tabela4[[#This Row],[Klas. št. ]],Tabela_izhod[Opomba],Tabela4[[#This Row],[Opomba]])</f>
        <v>0</v>
      </c>
    </row>
    <row r="18" spans="1:11" s="2" customFormat="1" ht="30" customHeight="1" x14ac:dyDescent="0.25">
      <c r="A18" s="27" t="s">
        <v>4</v>
      </c>
      <c r="B18" s="28" t="str">
        <f>INDEX(Seznam_klasifikacij[Naziv],MATCH(Tabela4[[#This Row],[Klas. št. ]],Seznam_klasifikacij[Klasifikacija],0))</f>
        <v xml:space="preserve">Odpadni praškasti premazi </v>
      </c>
      <c r="C18" s="89" t="s">
        <v>53</v>
      </c>
      <c r="D18" s="28">
        <f>SUMIFS(Tabela_vhod[Teža (kg)],Tabela_vhod[Klas. št. ],Tabela4[[#This Row],[Klas. št. ]],Tabela_vhod[Opomba],Tabela4[[#This Row],[Opomba]],Tabela_vhod[V skladišču],"DA")</f>
        <v>827</v>
      </c>
      <c r="E18" s="28">
        <f>COUNTIFS(Tabela_vhod[V skladišču],"DA",Tabela_vhod[Klas. št. ],Tabela4[[#This Row],[Klas. št. ]],Tabela_vhod[Opomba],Tabela4[[#This Row],[Opomba]])</f>
        <v>4</v>
      </c>
      <c r="F18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18" s="20">
        <f>COUNTIFS(Tabela_vhod[V skladišču],"DA",Tabela_vhod[Klas. št. ],Tabela4[[#This Row],[Klas. št. ]],Tabela_vhod[Opomba],Tabela4[[#This Row],[Opomba]],Tabela_vhod[Skladišno mesto],"Sklad-7")</f>
        <v>0</v>
      </c>
      <c r="H18" s="20">
        <f>SUMIFS(Tabela_vhod[Teža (kg)],Tabela_vhod[Klas. št. ],Tabela4[[#This Row],[Klas. št. ]],Tabela_vhod[Opomba],Tabela4[[#This Row],[Opomba]],Tabela_vhod[V skladišču],"DA",Tabela_vhod[Skladišno mesto],"Sklad-3")</f>
        <v>827</v>
      </c>
      <c r="I18" s="20">
        <f>COUNTIFS(Tabela_vhod[V skladišču],"DA",Tabela_vhod[Klas. št. ],Tabela4[[#This Row],[Klas. št. ]],Tabela_vhod[Opomba],Tabela4[[#This Row],[Opomba]],Tabela_vhod[Skladišno mesto],"Sklad-3")</f>
        <v>4</v>
      </c>
      <c r="J18" s="21">
        <f>_xlfn.MAXIFS(Tabela_vhod[Datum sprejema],Tabela_vhod[Klas. št. ],Tabela4[[#This Row],[Klas. št. ]],Tabela_vhod[Opomba],Tabela4[[#This Row],[Opomba]])</f>
        <v>44137</v>
      </c>
      <c r="K18" s="21">
        <f>_xlfn.MAXIFS(Tabela_izhod[Datum izvoza],Tabela_izhod[Klas. št. ],Tabela4[[#This Row],[Klas. št. ]],Tabela_izhod[Opomba],Tabela4[[#This Row],[Opomba]])</f>
        <v>44110</v>
      </c>
    </row>
    <row r="19" spans="1:11" s="2" customFormat="1" ht="30" customHeight="1" x14ac:dyDescent="0.25">
      <c r="A19" s="27" t="s">
        <v>5</v>
      </c>
      <c r="B19" s="28" t="str">
        <f>INDEX(Seznam_klasifikacij[Naziv],MATCH(Tabela4[[#This Row],[Klas. št. ]],Seznam_klasifikacij[Klasifikacija],0))</f>
        <v xml:space="preserve">Odpadni tiskarski tonerji, ki niso zajeti v 08 03 17 </v>
      </c>
      <c r="C19" s="89" t="s">
        <v>53</v>
      </c>
      <c r="D19" s="28">
        <f>SUMIFS(Tabela_vhod[Teža (kg)],Tabela_vhod[Klas. št. ],Tabela4[[#This Row],[Klas. št. ]],Tabela_vhod[Opomba],Tabela4[[#This Row],[Opomba]],Tabela_vhod[V skladišču],"DA")</f>
        <v>1159</v>
      </c>
      <c r="E19" s="28">
        <f>COUNTIFS(Tabela_vhod[V skladišču],"DA",Tabela_vhod[Klas. št. ],Tabela4[[#This Row],[Klas. št. ]],Tabela_vhod[Opomba],Tabela4[[#This Row],[Opomba]])</f>
        <v>6</v>
      </c>
      <c r="F19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19" s="20">
        <f>COUNTIFS(Tabela_vhod[V skladišču],"DA",Tabela_vhod[Klas. št. ],Tabela4[[#This Row],[Klas. št. ]],Tabela_vhod[Opomba],Tabela4[[#This Row],[Opomba]],Tabela_vhod[Skladišno mesto],"Sklad-7")</f>
        <v>0</v>
      </c>
      <c r="H19" s="20">
        <f>SUMIFS(Tabela_vhod[Teža (kg)],Tabela_vhod[Klas. št. ],Tabela4[[#This Row],[Klas. št. ]],Tabela_vhod[Opomba],Tabela4[[#This Row],[Opomba]],Tabela_vhod[V skladišču],"DA",Tabela_vhod[Skladišno mesto],"Sklad-3")</f>
        <v>1159</v>
      </c>
      <c r="I19" s="20">
        <f>COUNTIFS(Tabela_vhod[V skladišču],"DA",Tabela_vhod[Klas. št. ],Tabela4[[#This Row],[Klas. št. ]],Tabela_vhod[Opomba],Tabela4[[#This Row],[Opomba]],Tabela_vhod[Skladišno mesto],"Sklad-3")</f>
        <v>6</v>
      </c>
      <c r="J19" s="21">
        <f>_xlfn.MAXIFS(Tabela_vhod[Datum sprejema],Tabela_vhod[Klas. št. ],Tabela4[[#This Row],[Klas. št. ]],Tabela_vhod[Opomba],Tabela4[[#This Row],[Opomba]])</f>
        <v>44133</v>
      </c>
      <c r="K19" s="21">
        <f>_xlfn.MAXIFS(Tabela_izhod[Datum izvoza],Tabela_izhod[Klas. št. ],Tabela4[[#This Row],[Klas. št. ]],Tabela_izhod[Opomba],Tabela4[[#This Row],[Opomba]])</f>
        <v>44131</v>
      </c>
    </row>
    <row r="20" spans="1:11" s="2" customFormat="1" ht="30" customHeight="1" x14ac:dyDescent="0.25">
      <c r="A20" s="27" t="s">
        <v>31</v>
      </c>
      <c r="B20" s="29" t="str">
        <f>INDEX(Seznam_klasifikacij[Naziv],MATCH(Tabela4[[#This Row],[Klas. št. ]],Seznam_klasifikacij[Klasifikacija],0))</f>
        <v>Odpadna lepila in tesnilne mase, ki niso navedene pod 08 04 09</v>
      </c>
      <c r="C20" s="90" t="s">
        <v>53</v>
      </c>
      <c r="D20" s="29">
        <f>SUMIFS(Tabela_vhod[Teža (kg)],Tabela_vhod[Klas. št. ],Tabela4[[#This Row],[Klas. št. ]],Tabela_vhod[Opomba],Tabela4[[#This Row],[Opomba]],Tabela_vhod[V skladišču],"DA")</f>
        <v>0</v>
      </c>
      <c r="E20" s="29">
        <f>COUNTIFS(Tabela_vhod[V skladišču],"DA",Tabela_vhod[Klas. št. ],Tabela4[[#This Row],[Klas. št. ]],Tabela_vhod[Opomba],Tabela4[[#This Row],[Opomba]])</f>
        <v>0</v>
      </c>
      <c r="F20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20" s="20">
        <f>COUNTIFS(Tabela_vhod[V skladišču],"DA",Tabela_vhod[Klas. št. ],Tabela4[[#This Row],[Klas. št. ]],Tabela_vhod[Opomba],Tabela4[[#This Row],[Opomba]],Tabela_vhod[Skladišno mesto],"Sklad-7")</f>
        <v>0</v>
      </c>
      <c r="H20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20" s="20">
        <f>COUNTIFS(Tabela_vhod[V skladišču],"DA",Tabela_vhod[Klas. št. ],Tabela4[[#This Row],[Klas. št. ]],Tabela_vhod[Opomba],Tabela4[[#This Row],[Opomba]],Tabela_vhod[Skladišno mesto],"Sklad-3")</f>
        <v>0</v>
      </c>
      <c r="J20" s="21">
        <f>_xlfn.MAXIFS(Tabela_vhod[Datum sprejema],Tabela_vhod[Klas. št. ],Tabela4[[#This Row],[Klas. št. ]],Tabela_vhod[Opomba],Tabela4[[#This Row],[Opomba]])</f>
        <v>0</v>
      </c>
      <c r="K20" s="21">
        <f>_xlfn.MAXIFS(Tabela_izhod[Datum izvoza],Tabela_izhod[Klas. št. ],Tabela4[[#This Row],[Klas. št. ]],Tabela_izhod[Opomba],Tabela4[[#This Row],[Opomba]])</f>
        <v>0</v>
      </c>
    </row>
    <row r="21" spans="1:11" s="2" customFormat="1" ht="30" customHeight="1" x14ac:dyDescent="0.25">
      <c r="A21" s="27" t="s">
        <v>115</v>
      </c>
      <c r="B21" s="72" t="str">
        <f>INDEX(Seznam_klasifikacij[Naziv],MATCH(Tabela4[[#This Row],[Klas. št. ]],Seznam_klasifikacij[Klasifikacija],0))</f>
        <v>Razvijalci in aktivatorji na vodni osnovi</v>
      </c>
      <c r="C21" s="91" t="s">
        <v>53</v>
      </c>
      <c r="D21" s="73">
        <f>SUMIFS(Tabela_vhod[Teža (kg)],Tabela_vhod[Klas. št. ],Tabela4[[#This Row],[Klas. št. ]],Tabela_vhod[Opomba],Tabela4[[#This Row],[Opomba]],Tabela_vhod[V skladišču],"DA")</f>
        <v>0</v>
      </c>
      <c r="E21" s="73">
        <f>COUNTIFS(Tabela_vhod[V skladišču],"DA",Tabela_vhod[Klas. št. ],Tabela4[[#This Row],[Klas. št. ]],Tabela_vhod[Opomba],Tabela4[[#This Row],[Opomba]])</f>
        <v>0</v>
      </c>
      <c r="F21" s="81">
        <f>SUMIFS(Tabela_vhod[Teža (kg)],Tabela_vhod[Klas. št. ],Tabela4[[#This Row],[Klas. št. ]],Tabela_vhod[Opomba],Tabela4[[#This Row],[Opomba]],Tabela_vhod[V skladišču],"DA",Tabela_vhod[Skladišno mesto],"Sklad-7")</f>
        <v>0</v>
      </c>
      <c r="G21" s="81">
        <f>COUNTIFS(Tabela_vhod[V skladišču],"DA",Tabela_vhod[Klas. št. ],Tabela4[[#This Row],[Klas. št. ]],Tabela_vhod[Opomba],Tabela4[[#This Row],[Opomba]],Tabela_vhod[Skladišno mesto],"Sklad-7")</f>
        <v>0</v>
      </c>
      <c r="H21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21" s="20">
        <f>COUNTIFS(Tabela_vhod[V skladišču],"DA",Tabela_vhod[Klas. št. ],Tabela4[[#This Row],[Klas. št. ]],Tabela_vhod[Opomba],Tabela4[[#This Row],[Opomba]],Tabela_vhod[Skladišno mesto],"Sklad-3")</f>
        <v>0</v>
      </c>
      <c r="J21" s="21">
        <f>_xlfn.MAXIFS(Tabela_vhod[Datum sprejema],Tabela_vhod[Klas. št. ],Tabela4[[#This Row],[Klas. št. ]],Tabela_vhod[Opomba],Tabela4[[#This Row],[Opomba]])</f>
        <v>0</v>
      </c>
      <c r="K21" s="21">
        <f>_xlfn.MAXIFS(Tabela_izhod[Datum izvoza],Tabela_izhod[Klas. št. ],Tabela4[[#This Row],[Klas. št. ]],Tabela_izhod[Opomba],Tabela4[[#This Row],[Opomba]])</f>
        <v>0</v>
      </c>
    </row>
    <row r="22" spans="1:11" s="2" customFormat="1" ht="30" customHeight="1" x14ac:dyDescent="0.25">
      <c r="A22" s="27" t="s">
        <v>117</v>
      </c>
      <c r="B22" s="72" t="str">
        <f>INDEX(Seznam_klasifikacij[Naziv],MATCH(Tabela4[[#This Row],[Klas. št. ]],Seznam_klasifikacij[Klasifikacija],0))</f>
        <v>Razvijalci na vodni osnovi za off-set plošče</v>
      </c>
      <c r="C22" s="91" t="s">
        <v>53</v>
      </c>
      <c r="D22" s="73">
        <f>SUMIFS(Tabela_vhod[Teža (kg)],Tabela_vhod[Klas. št. ],Tabela4[[#This Row],[Klas. št. ]],Tabela_vhod[Opomba],Tabela4[[#This Row],[Opomba]],Tabela_vhod[V skladišču],"DA")</f>
        <v>0</v>
      </c>
      <c r="E22" s="73">
        <f>COUNTIFS(Tabela_vhod[V skladišču],"DA",Tabela_vhod[Klas. št. ],Tabela4[[#This Row],[Klas. št. ]],Tabela_vhod[Opomba],Tabela4[[#This Row],[Opomba]])</f>
        <v>0</v>
      </c>
      <c r="F22" s="81">
        <f>SUMIFS(Tabela_vhod[Teža (kg)],Tabela_vhod[Klas. št. ],Tabela4[[#This Row],[Klas. št. ]],Tabela_vhod[Opomba],Tabela4[[#This Row],[Opomba]],Tabela_vhod[V skladišču],"DA",Tabela_vhod[Skladišno mesto],"Sklad-7")</f>
        <v>0</v>
      </c>
      <c r="G22" s="81">
        <f>COUNTIFS(Tabela_vhod[V skladišču],"DA",Tabela_vhod[Klas. št. ],Tabela4[[#This Row],[Klas. št. ]],Tabela_vhod[Opomba],Tabela4[[#This Row],[Opomba]],Tabela_vhod[Skladišno mesto],"Sklad-7")</f>
        <v>0</v>
      </c>
      <c r="H22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22" s="20">
        <f>COUNTIFS(Tabela_vhod[V skladišču],"DA",Tabela_vhod[Klas. št. ],Tabela4[[#This Row],[Klas. št. ]],Tabela_vhod[Opomba],Tabela4[[#This Row],[Opomba]],Tabela_vhod[Skladišno mesto],"Sklad-3")</f>
        <v>0</v>
      </c>
      <c r="J22" s="21">
        <f>_xlfn.MAXIFS(Tabela_vhod[Datum sprejema],Tabela_vhod[Klas. št. ],Tabela4[[#This Row],[Klas. št. ]],Tabela_vhod[Opomba],Tabela4[[#This Row],[Opomba]])</f>
        <v>0</v>
      </c>
      <c r="K22" s="21">
        <f>_xlfn.MAXIFS(Tabela_izhod[Datum izvoza],Tabela_izhod[Klas. št. ],Tabela4[[#This Row],[Klas. št. ]],Tabela_izhod[Opomba],Tabela4[[#This Row],[Opomba]])</f>
        <v>0</v>
      </c>
    </row>
    <row r="23" spans="1:11" s="2" customFormat="1" ht="30" customHeight="1" x14ac:dyDescent="0.25">
      <c r="A23" s="27" t="s">
        <v>119</v>
      </c>
      <c r="B23" s="72" t="str">
        <f>INDEX(Seznam_klasifikacij[Naziv],MATCH(Tabela4[[#This Row],[Klas. št. ]],Seznam_klasifikacij[Klasifikacija],0))</f>
        <v>Razvijalci na osnovi topil</v>
      </c>
      <c r="C23" s="91" t="s">
        <v>53</v>
      </c>
      <c r="D23" s="73">
        <f>SUMIFS(Tabela_vhod[Teža (kg)],Tabela_vhod[Klas. št. ],Tabela4[[#This Row],[Klas. št. ]],Tabela_vhod[Opomba],Tabela4[[#This Row],[Opomba]],Tabela_vhod[V skladišču],"DA")</f>
        <v>0</v>
      </c>
      <c r="E23" s="73">
        <f>COUNTIFS(Tabela_vhod[V skladišču],"DA",Tabela_vhod[Klas. št. ],Tabela4[[#This Row],[Klas. št. ]],Tabela_vhod[Opomba],Tabela4[[#This Row],[Opomba]])</f>
        <v>0</v>
      </c>
      <c r="F23" s="81">
        <f>SUMIFS(Tabela_vhod[Teža (kg)],Tabela_vhod[Klas. št. ],Tabela4[[#This Row],[Klas. št. ]],Tabela_vhod[Opomba],Tabela4[[#This Row],[Opomba]],Tabela_vhod[V skladišču],"DA",Tabela_vhod[Skladišno mesto],"Sklad-7")</f>
        <v>0</v>
      </c>
      <c r="G23" s="81">
        <f>COUNTIFS(Tabela_vhod[V skladišču],"DA",Tabela_vhod[Klas. št. ],Tabela4[[#This Row],[Klas. št. ]],Tabela_vhod[Opomba],Tabela4[[#This Row],[Opomba]],Tabela_vhod[Skladišno mesto],"Sklad-7")</f>
        <v>0</v>
      </c>
      <c r="H23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23" s="20">
        <f>COUNTIFS(Tabela_vhod[V skladišču],"DA",Tabela_vhod[Klas. št. ],Tabela4[[#This Row],[Klas. št. ]],Tabela_vhod[Opomba],Tabela4[[#This Row],[Opomba]],Tabela_vhod[Skladišno mesto],"Sklad-3")</f>
        <v>0</v>
      </c>
      <c r="J23" s="21">
        <f>_xlfn.MAXIFS(Tabela_vhod[Datum sprejema],Tabela_vhod[Klas. št. ],Tabela4[[#This Row],[Klas. št. ]],Tabela_vhod[Opomba],Tabela4[[#This Row],[Opomba]])</f>
        <v>0</v>
      </c>
      <c r="K23" s="21">
        <f>_xlfn.MAXIFS(Tabela_izhod[Datum izvoza],Tabela_izhod[Klas. št. ],Tabela4[[#This Row],[Klas. št. ]],Tabela_izhod[Opomba],Tabela4[[#This Row],[Opomba]])</f>
        <v>0</v>
      </c>
    </row>
    <row r="24" spans="1:11" s="2" customFormat="1" ht="30" customHeight="1" x14ac:dyDescent="0.25">
      <c r="A24" s="27" t="s">
        <v>121</v>
      </c>
      <c r="B24" s="72" t="str">
        <f>INDEX(Seznam_klasifikacij[Naziv],MATCH(Tabela4[[#This Row],[Klas. št. ]],Seznam_klasifikacij[Klasifikacija],0))</f>
        <v>Fiksirne raztopine</v>
      </c>
      <c r="C24" s="91" t="s">
        <v>53</v>
      </c>
      <c r="D24" s="73">
        <f>SUMIFS(Tabela_vhod[Teža (kg)],Tabela_vhod[Klas. št. ],Tabela4[[#This Row],[Klas. št. ]],Tabela_vhod[Opomba],Tabela4[[#This Row],[Opomba]],Tabela_vhod[V skladišču],"DA")</f>
        <v>0</v>
      </c>
      <c r="E24" s="73">
        <f>COUNTIFS(Tabela_vhod[V skladišču],"DA",Tabela_vhod[Klas. št. ],Tabela4[[#This Row],[Klas. št. ]],Tabela_vhod[Opomba],Tabela4[[#This Row],[Opomba]])</f>
        <v>0</v>
      </c>
      <c r="F24" s="81">
        <f>SUMIFS(Tabela_vhod[Teža (kg)],Tabela_vhod[Klas. št. ],Tabela4[[#This Row],[Klas. št. ]],Tabela_vhod[Opomba],Tabela4[[#This Row],[Opomba]],Tabela_vhod[V skladišču],"DA",Tabela_vhod[Skladišno mesto],"Sklad-7")</f>
        <v>0</v>
      </c>
      <c r="G24" s="81">
        <f>COUNTIFS(Tabela_vhod[V skladišču],"DA",Tabela_vhod[Klas. št. ],Tabela4[[#This Row],[Klas. št. ]],Tabela_vhod[Opomba],Tabela4[[#This Row],[Opomba]],Tabela_vhod[Skladišno mesto],"Sklad-7")</f>
        <v>0</v>
      </c>
      <c r="H24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24" s="20">
        <f>COUNTIFS(Tabela_vhod[V skladišču],"DA",Tabela_vhod[Klas. št. ],Tabela4[[#This Row],[Klas. št. ]],Tabela_vhod[Opomba],Tabela4[[#This Row],[Opomba]],Tabela_vhod[Skladišno mesto],"Sklad-3")</f>
        <v>0</v>
      </c>
      <c r="J24" s="21">
        <f>_xlfn.MAXIFS(Tabela_vhod[Datum sprejema],Tabela_vhod[Klas. št. ],Tabela4[[#This Row],[Klas. št. ]],Tabela_vhod[Opomba],Tabela4[[#This Row],[Opomba]])</f>
        <v>0</v>
      </c>
      <c r="K24" s="21">
        <f>_xlfn.MAXIFS(Tabela_izhod[Datum izvoza],Tabela_izhod[Klas. št. ],Tabela4[[#This Row],[Klas. št. ]],Tabela_izhod[Opomba],Tabela4[[#This Row],[Opomba]])</f>
        <v>0</v>
      </c>
    </row>
    <row r="25" spans="1:11" s="2" customFormat="1" ht="30" customHeight="1" x14ac:dyDescent="0.25">
      <c r="A25" s="27" t="s">
        <v>3</v>
      </c>
      <c r="B25" s="28" t="str">
        <f>INDEX(Seznam_klasifikacij[Naziv],MATCH(Tabela4[[#This Row],[Klas. št. ]],Seznam_klasifikacij[Klasifikacija],0))</f>
        <v xml:space="preserve">Pepel, žlindra in kotlovski prah (razen kotlovskega prahu iz 10 01 04) </v>
      </c>
      <c r="C25" s="89" t="s">
        <v>53</v>
      </c>
      <c r="D25" s="28">
        <f>SUMIFS(Tabela_vhod[Teža (kg)],Tabela_vhod[Klas. št. ],Tabela4[[#This Row],[Klas. št. ]],Tabela_vhod[Opomba],Tabela4[[#This Row],[Opomba]],Tabela_vhod[V skladišču],"DA")</f>
        <v>456</v>
      </c>
      <c r="E25" s="28">
        <f>COUNTIFS(Tabela_vhod[V skladišču],"DA",Tabela_vhod[Klas. št. ],Tabela4[[#This Row],[Klas. št. ]],Tabela_vhod[Opomba],Tabela4[[#This Row],[Opomba]])</f>
        <v>1</v>
      </c>
      <c r="F25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25" s="20">
        <f>COUNTIFS(Tabela_vhod[V skladišču],"DA",Tabela_vhod[Klas. št. ],Tabela4[[#This Row],[Klas. št. ]],Tabela_vhod[Opomba],Tabela4[[#This Row],[Opomba]],Tabela_vhod[Skladišno mesto],"Sklad-7")</f>
        <v>0</v>
      </c>
      <c r="H25" s="20">
        <f>SUMIFS(Tabela_vhod[Teža (kg)],Tabela_vhod[Klas. št. ],Tabela4[[#This Row],[Klas. št. ]],Tabela_vhod[Opomba],Tabela4[[#This Row],[Opomba]],Tabela_vhod[V skladišču],"DA",Tabela_vhod[Skladišno mesto],"Sklad-3")</f>
        <v>456</v>
      </c>
      <c r="I25" s="20">
        <f>COUNTIFS(Tabela_vhod[V skladišču],"DA",Tabela_vhod[Klas. št. ],Tabela4[[#This Row],[Klas. št. ]],Tabela_vhod[Opomba],Tabela4[[#This Row],[Opomba]],Tabela_vhod[Skladišno mesto],"Sklad-3")</f>
        <v>1</v>
      </c>
      <c r="J25" s="21">
        <f>_xlfn.MAXIFS(Tabela_vhod[Datum sprejema],Tabela_vhod[Klas. št. ],Tabela4[[#This Row],[Klas. št. ]],Tabela_vhod[Opomba],Tabela4[[#This Row],[Opomba]])</f>
        <v>44094</v>
      </c>
      <c r="K25" s="21">
        <f>_xlfn.MAXIFS(Tabela_izhod[Datum izvoza],Tabela_izhod[Klas. št. ],Tabela4[[#This Row],[Klas. št. ]],Tabela_izhod[Opomba],Tabela4[[#This Row],[Opomba]])</f>
        <v>44068</v>
      </c>
    </row>
    <row r="26" spans="1:11" s="2" customFormat="1" ht="30" customHeight="1" x14ac:dyDescent="0.25">
      <c r="A26" s="27" t="s">
        <v>71</v>
      </c>
      <c r="B26" s="30" t="str">
        <f>INDEX(Seznam_klasifikacij[Naziv],MATCH(Tabela4[[#This Row],[Klas. št. ]],Seznam_klasifikacij[Klasifikacija],0))</f>
        <v>Odpadki iz predelave žlindre</v>
      </c>
      <c r="C26" s="89" t="s">
        <v>53</v>
      </c>
      <c r="D26" s="28">
        <f>SUMIFS(Tabela_vhod[Teža (kg)],Tabela_vhod[Klas. št. ],Tabela4[[#This Row],[Klas. št. ]],Tabela_vhod[Opomba],Tabela4[[#This Row],[Opomba]],Tabela_vhod[V skladišču],"DA")</f>
        <v>0</v>
      </c>
      <c r="E26" s="28">
        <f>COUNTIFS(Tabela_vhod[V skladišču],"DA",Tabela_vhod[Klas. št. ],Tabela4[[#This Row],[Klas. št. ]],Tabela_vhod[Opomba],Tabela4[[#This Row],[Opomba]])</f>
        <v>0</v>
      </c>
      <c r="F26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26" s="20">
        <f>COUNTIFS(Tabela_vhod[V skladišču],"DA",Tabela_vhod[Klas. št. ],Tabela4[[#This Row],[Klas. št. ]],Tabela_vhod[Opomba],Tabela4[[#This Row],[Opomba]],Tabela_vhod[Skladišno mesto],"Sklad-7")</f>
        <v>0</v>
      </c>
      <c r="H26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26" s="20">
        <f>COUNTIFS(Tabela_vhod[V skladišču],"DA",Tabela_vhod[Klas. št. ],Tabela4[[#This Row],[Klas. št. ]],Tabela_vhod[Opomba],Tabela4[[#This Row],[Opomba]],Tabela_vhod[Skladišno mesto],"Sklad-3")</f>
        <v>0</v>
      </c>
      <c r="J26" s="21">
        <f>_xlfn.MAXIFS(Tabela_vhod[Datum sprejema],Tabela_vhod[Klas. št. ],Tabela4[[#This Row],[Klas. št. ]],Tabela_vhod[Opomba],Tabela4[[#This Row],[Opomba]])</f>
        <v>44047</v>
      </c>
      <c r="K26" s="21">
        <f>_xlfn.MAXIFS(Tabela_izhod[Datum izvoza],Tabela_izhod[Klas. št. ],Tabela4[[#This Row],[Klas. št. ]],Tabela_izhod[Opomba],Tabela4[[#This Row],[Opomba]])</f>
        <v>44055</v>
      </c>
    </row>
    <row r="27" spans="1:11" s="2" customFormat="1" ht="30" customHeight="1" x14ac:dyDescent="0.25">
      <c r="A27" s="27" t="s">
        <v>123</v>
      </c>
      <c r="B27" s="30" t="str">
        <f>INDEX(Seznam_klasifikacij[Naziv],MATCH(Tabela4[[#This Row],[Klas. št. ]],Seznam_klasifikacij[Klasifikacija],0))</f>
        <v>Mulji iz fosfatiranja</v>
      </c>
      <c r="C27" s="89" t="s">
        <v>53</v>
      </c>
      <c r="D27" s="28">
        <f>SUMIFS(Tabela_vhod[Teža (kg)],Tabela_vhod[Klas. št. ],Tabela4[[#This Row],[Klas. št. ]],Tabela_vhod[Opomba],Tabela4[[#This Row],[Opomba]],Tabela_vhod[V skladišču],"DA")</f>
        <v>0</v>
      </c>
      <c r="E27" s="28">
        <f>COUNTIFS(Tabela_vhod[V skladišču],"DA",Tabela_vhod[Klas. št. ],Tabela4[[#This Row],[Klas. št. ]],Tabela_vhod[Opomba],Tabela4[[#This Row],[Opomba]])</f>
        <v>0</v>
      </c>
      <c r="F27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27" s="20">
        <f>COUNTIFS(Tabela_vhod[V skladišču],"DA",Tabela_vhod[Klas. št. ],Tabela4[[#This Row],[Klas. št. ]],Tabela_vhod[Opomba],Tabela4[[#This Row],[Opomba]],Tabela_vhod[Skladišno mesto],"Sklad-7")</f>
        <v>0</v>
      </c>
      <c r="H27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27" s="20">
        <f>COUNTIFS(Tabela_vhod[V skladišču],"DA",Tabela_vhod[Klas. št. ],Tabela4[[#This Row],[Klas. št. ]],Tabela_vhod[Opomba],Tabela4[[#This Row],[Opomba]],Tabela_vhod[Skladišno mesto],"Sklad-3")</f>
        <v>0</v>
      </c>
      <c r="J27" s="21">
        <f>_xlfn.MAXIFS(Tabela_vhod[Datum sprejema],Tabela_vhod[Klas. št. ],Tabela4[[#This Row],[Klas. št. ]],Tabela_vhod[Opomba],Tabela4[[#This Row],[Opomba]])</f>
        <v>0</v>
      </c>
      <c r="K27" s="21">
        <f>_xlfn.MAXIFS(Tabela_izhod[Datum izvoza],Tabela_izhod[Klas. št. ],Tabela4[[#This Row],[Klas. št. ]],Tabela_izhod[Opomba],Tabela4[[#This Row],[Opomba]])</f>
        <v>0</v>
      </c>
    </row>
    <row r="28" spans="1:11" s="2" customFormat="1" ht="30" customHeight="1" x14ac:dyDescent="0.25">
      <c r="A28" s="27" t="s">
        <v>125</v>
      </c>
      <c r="B28" s="30" t="str">
        <f>INDEX(Seznam_klasifikacij[Naziv],MATCH(Tabela4[[#This Row],[Klas. št. ]],Seznam_klasifikacij[Klasifikacija],0))</f>
        <v xml:space="preserve">Mulji in filtrski kolači, ki vsebujejo nevarne snovi </v>
      </c>
      <c r="C28" s="89" t="s">
        <v>48</v>
      </c>
      <c r="D28" s="28">
        <f>SUMIFS(Tabela_vhod[Teža (kg)],Tabela_vhod[Klas. št. ],Tabela4[[#This Row],[Klas. št. ]],Tabela_vhod[Opomba],Tabela4[[#This Row],[Opomba]],Tabela_vhod[V skladišču],"DA")</f>
        <v>0</v>
      </c>
      <c r="E28" s="28">
        <f>COUNTIFS(Tabela_vhod[V skladišču],"DA",Tabela_vhod[Klas. št. ],Tabela4[[#This Row],[Klas. št. ]],Tabela_vhod[Opomba],Tabela4[[#This Row],[Opomba]])</f>
        <v>0</v>
      </c>
      <c r="F28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28" s="20">
        <f>COUNTIFS(Tabela_vhod[V skladišču],"DA",Tabela_vhod[Klas. št. ],Tabela4[[#This Row],[Klas. št. ]],Tabela_vhod[Opomba],Tabela4[[#This Row],[Opomba]],Tabela_vhod[Skladišno mesto],"Sklad-7")</f>
        <v>0</v>
      </c>
      <c r="H28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28" s="20">
        <f>COUNTIFS(Tabela_vhod[V skladišču],"DA",Tabela_vhod[Klas. št. ],Tabela4[[#This Row],[Klas. št. ]],Tabela_vhod[Opomba],Tabela4[[#This Row],[Opomba]],Tabela_vhod[Skladišno mesto],"Sklad-3")</f>
        <v>0</v>
      </c>
      <c r="J28" s="21">
        <f>_xlfn.MAXIFS(Tabela_vhod[Datum sprejema],Tabela_vhod[Klas. št. ],Tabela4[[#This Row],[Klas. št. ]],Tabela_vhod[Opomba],Tabela4[[#This Row],[Opomba]])</f>
        <v>44039</v>
      </c>
      <c r="K28" s="21">
        <f>_xlfn.MAXIFS(Tabela_izhod[Datum izvoza],Tabela_izhod[Klas. št. ],Tabela4[[#This Row],[Klas. št. ]],Tabela_izhod[Opomba],Tabela4[[#This Row],[Opomba]])</f>
        <v>44049</v>
      </c>
    </row>
    <row r="29" spans="1:11" s="2" customFormat="1" ht="30" customHeight="1" x14ac:dyDescent="0.25">
      <c r="A29" s="27" t="s">
        <v>125</v>
      </c>
      <c r="B29" s="28" t="str">
        <f>INDEX(Seznam_klasifikacij[Naziv],MATCH(Tabela4[[#This Row],[Klas. št. ]],Seznam_klasifikacij[Klasifikacija],0))</f>
        <v xml:space="preserve">Mulji in filtrski kolači, ki vsebujejo nevarne snovi </v>
      </c>
      <c r="C29" s="89" t="s">
        <v>53</v>
      </c>
      <c r="D29" s="28">
        <f>SUMIFS(Tabela_vhod[Teža (kg)],Tabela_vhod[Klas. št. ],Tabela4[[#This Row],[Klas. št. ]],Tabela_vhod[Opomba],Tabela4[[#This Row],[Opomba]],Tabela_vhod[V skladišču],"DA")</f>
        <v>822</v>
      </c>
      <c r="E29" s="28">
        <f>COUNTIFS(Tabela_vhod[V skladišču],"DA",Tabela_vhod[Klas. št. ],Tabela4[[#This Row],[Klas. št. ]],Tabela_vhod[Opomba],Tabela4[[#This Row],[Opomba]])</f>
        <v>1</v>
      </c>
      <c r="F29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29" s="20">
        <f>COUNTIFS(Tabela_vhod[V skladišču],"DA",Tabela_vhod[Klas. št. ],Tabela4[[#This Row],[Klas. št. ]],Tabela_vhod[Opomba],Tabela4[[#This Row],[Opomba]],Tabela_vhod[Skladišno mesto],"Sklad-7")</f>
        <v>0</v>
      </c>
      <c r="H29" s="20">
        <f>SUMIFS(Tabela_vhod[Teža (kg)],Tabela_vhod[Klas. št. ],Tabela4[[#This Row],[Klas. št. ]],Tabela_vhod[Opomba],Tabela4[[#This Row],[Opomba]],Tabela_vhod[V skladišču],"DA",Tabela_vhod[Skladišno mesto],"Sklad-3")</f>
        <v>822</v>
      </c>
      <c r="I29" s="20">
        <f>COUNTIFS(Tabela_vhod[V skladišču],"DA",Tabela_vhod[Klas. št. ],Tabela4[[#This Row],[Klas. št. ]],Tabela_vhod[Opomba],Tabela4[[#This Row],[Opomba]],Tabela_vhod[Skladišno mesto],"Sklad-3")</f>
        <v>1</v>
      </c>
      <c r="J29" s="21">
        <f>_xlfn.MAXIFS(Tabela_vhod[Datum sprejema],Tabela_vhod[Klas. št. ],Tabela4[[#This Row],[Klas. št. ]],Tabela_vhod[Opomba],Tabela4[[#This Row],[Opomba]])</f>
        <v>44084</v>
      </c>
      <c r="K29" s="21">
        <f>_xlfn.MAXIFS(Tabela_izhod[Datum izvoza],Tabela_izhod[Klas. št. ],Tabela4[[#This Row],[Klas. št. ]],Tabela_izhod[Opomba],Tabela4[[#This Row],[Opomba]])</f>
        <v>0</v>
      </c>
    </row>
    <row r="30" spans="1:11" s="2" customFormat="1" ht="30" customHeight="1" x14ac:dyDescent="0.25">
      <c r="A30" s="27" t="s">
        <v>127</v>
      </c>
      <c r="B30" s="30" t="str">
        <f>INDEX(Seznam_klasifikacij[Naziv],MATCH(Tabela4[[#This Row],[Klas. št. ]],Seznam_klasifikacij[Klasifikacija],0))</f>
        <v>Tekočine za izpiranje na vodni osnovi, ki vsebujejo nevarne snovi</v>
      </c>
      <c r="C30" s="89" t="s">
        <v>53</v>
      </c>
      <c r="D30" s="28">
        <f>SUMIFS(Tabela_vhod[Teža (kg)],Tabela_vhod[Klas. št. ],Tabela4[[#This Row],[Klas. št. ]],Tabela_vhod[Opomba],Tabela4[[#This Row],[Opomba]],Tabela_vhod[V skladišču],"DA")</f>
        <v>0</v>
      </c>
      <c r="E30" s="28">
        <f>COUNTIFS(Tabela_vhod[V skladišču],"DA",Tabela_vhod[Klas. št. ],Tabela4[[#This Row],[Klas. št. ]],Tabela_vhod[Opomba],Tabela4[[#This Row],[Opomba]])</f>
        <v>0</v>
      </c>
      <c r="F30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30" s="20">
        <f>COUNTIFS(Tabela_vhod[V skladišču],"DA",Tabela_vhod[Klas. št. ],Tabela4[[#This Row],[Klas. št. ]],Tabela_vhod[Opomba],Tabela4[[#This Row],[Opomba]],Tabela_vhod[Skladišno mesto],"Sklad-7")</f>
        <v>0</v>
      </c>
      <c r="H30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30" s="20">
        <f>COUNTIFS(Tabela_vhod[V skladišču],"DA",Tabela_vhod[Klas. št. ],Tabela4[[#This Row],[Klas. št. ]],Tabela_vhod[Opomba],Tabela4[[#This Row],[Opomba]],Tabela_vhod[Skladišno mesto],"Sklad-3")</f>
        <v>0</v>
      </c>
      <c r="J30" s="21">
        <f>_xlfn.MAXIFS(Tabela_vhod[Datum sprejema],Tabela_vhod[Klas. št. ],Tabela4[[#This Row],[Klas. št. ]],Tabela_vhod[Opomba],Tabela4[[#This Row],[Opomba]])</f>
        <v>44094</v>
      </c>
      <c r="K30" s="21">
        <f>_xlfn.MAXIFS(Tabela_izhod[Datum izvoza],Tabela_izhod[Klas. št. ],Tabela4[[#This Row],[Klas. št. ]],Tabela_izhod[Opomba],Tabela4[[#This Row],[Opomba]])</f>
        <v>44110</v>
      </c>
    </row>
    <row r="31" spans="1:11" s="2" customFormat="1" ht="30" customHeight="1" x14ac:dyDescent="0.25">
      <c r="A31" s="27" t="s">
        <v>129</v>
      </c>
      <c r="B31" s="30" t="str">
        <f>INDEX(Seznam_klasifikacij[Naziv],MATCH(Tabela4[[#This Row],[Klas. št. ]],Seznam_klasifikacij[Klasifikacija],0))</f>
        <v>Odpadki iz razmaščevanja, ki vsebujejo nevarne snovi</v>
      </c>
      <c r="C31" s="89" t="s">
        <v>53</v>
      </c>
      <c r="D31" s="28">
        <f>SUMIFS(Tabela_vhod[Teža (kg)],Tabela_vhod[Klas. št. ],Tabela4[[#This Row],[Klas. št. ]],Tabela_vhod[Opomba],Tabela4[[#This Row],[Opomba]],Tabela_vhod[V skladišču],"DA")</f>
        <v>0</v>
      </c>
      <c r="E31" s="28">
        <f>COUNTIFS(Tabela_vhod[V skladišču],"DA",Tabela_vhod[Klas. št. ],Tabela4[[#This Row],[Klas. št. ]],Tabela_vhod[Opomba],Tabela4[[#This Row],[Opomba]])</f>
        <v>0</v>
      </c>
      <c r="F31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31" s="20">
        <f>COUNTIFS(Tabela_vhod[V skladišču],"DA",Tabela_vhod[Klas. št. ],Tabela4[[#This Row],[Klas. št. ]],Tabela_vhod[Opomba],Tabela4[[#This Row],[Opomba]],Tabela_vhod[Skladišno mesto],"Sklad-7")</f>
        <v>0</v>
      </c>
      <c r="H31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31" s="20">
        <f>COUNTIFS(Tabela_vhod[V skladišču],"DA",Tabela_vhod[Klas. št. ],Tabela4[[#This Row],[Klas. št. ]],Tabela_vhod[Opomba],Tabela4[[#This Row],[Opomba]],Tabela_vhod[Skladišno mesto],"Sklad-3")</f>
        <v>0</v>
      </c>
      <c r="J31" s="21">
        <f>_xlfn.MAXIFS(Tabela_vhod[Datum sprejema],Tabela_vhod[Klas. št. ],Tabela4[[#This Row],[Klas. št. ]],Tabela_vhod[Opomba],Tabela4[[#This Row],[Opomba]])</f>
        <v>0</v>
      </c>
      <c r="K31" s="21">
        <f>_xlfn.MAXIFS(Tabela_izhod[Datum izvoza],Tabela_izhod[Klas. št. ],Tabela4[[#This Row],[Klas. št. ]],Tabela_izhod[Opomba],Tabela4[[#This Row],[Opomba]])</f>
        <v>0</v>
      </c>
    </row>
    <row r="32" spans="1:11" s="2" customFormat="1" ht="30" customHeight="1" x14ac:dyDescent="0.25">
      <c r="A32" s="27" t="s">
        <v>60</v>
      </c>
      <c r="B32" s="30" t="str">
        <f>INDEX(Seznam_klasifikacij[Naziv],MATCH(Tabela4[[#This Row],[Klas. št. ]],Seznam_klasifikacij[Klasifikacija],0))</f>
        <v xml:space="preserve">Prah in delci železa </v>
      </c>
      <c r="C32" s="89" t="s">
        <v>53</v>
      </c>
      <c r="D32" s="28">
        <f>SUMIFS(Tabela_vhod[Teža (kg)],Tabela_vhod[Klas. št. ],Tabela4[[#This Row],[Klas. št. ]],Tabela_vhod[Opomba],Tabela4[[#This Row],[Opomba]],Tabela_vhod[V skladišču],"DA")</f>
        <v>2</v>
      </c>
      <c r="E32" s="28">
        <f>COUNTIFS(Tabela_vhod[V skladišču],"DA",Tabela_vhod[Klas. št. ],Tabela4[[#This Row],[Klas. št. ]],Tabela_vhod[Opomba],Tabela4[[#This Row],[Opomba]])</f>
        <v>2</v>
      </c>
      <c r="F32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32" s="20">
        <f>COUNTIFS(Tabela_vhod[V skladišču],"DA",Tabela_vhod[Klas. št. ],Tabela4[[#This Row],[Klas. št. ]],Tabela_vhod[Opomba],Tabela4[[#This Row],[Opomba]],Tabela_vhod[Skladišno mesto],"Sklad-7")</f>
        <v>0</v>
      </c>
      <c r="H32" s="20">
        <f>SUMIFS(Tabela_vhod[Teža (kg)],Tabela_vhod[Klas. št. ],Tabela4[[#This Row],[Klas. št. ]],Tabela_vhod[Opomba],Tabela4[[#This Row],[Opomba]],Tabela_vhod[V skladišču],"DA",Tabela_vhod[Skladišno mesto],"Sklad-3")</f>
        <v>2</v>
      </c>
      <c r="I32" s="20">
        <f>COUNTIFS(Tabela_vhod[V skladišču],"DA",Tabela_vhod[Klas. št. ],Tabela4[[#This Row],[Klas. št. ]],Tabela_vhod[Opomba],Tabela4[[#This Row],[Opomba]],Tabela_vhod[Skladišno mesto],"Sklad-3")</f>
        <v>2</v>
      </c>
      <c r="J32" s="21">
        <f>_xlfn.MAXIFS(Tabela_vhod[Datum sprejema],Tabela_vhod[Klas. št. ],Tabela4[[#This Row],[Klas. št. ]],Tabela_vhod[Opomba],Tabela4[[#This Row],[Opomba]])</f>
        <v>44151</v>
      </c>
      <c r="K32" s="21">
        <f>_xlfn.MAXIFS(Tabela_izhod[Datum izvoza],Tabela_izhod[Klas. št. ],Tabela4[[#This Row],[Klas. št. ]],Tabela_izhod[Opomba],Tabela4[[#This Row],[Opomba]])</f>
        <v>44124</v>
      </c>
    </row>
    <row r="33" spans="1:11" s="2" customFormat="1" ht="30" customHeight="1" x14ac:dyDescent="0.25">
      <c r="A33" s="27" t="s">
        <v>0</v>
      </c>
      <c r="B33" s="28" t="str">
        <f>INDEX(Seznam_klasifikacij[Naziv],MATCH(Tabela4[[#This Row],[Klas. št. ]],Seznam_klasifikacij[Klasifikacija],0))</f>
        <v xml:space="preserve">Delci plastike </v>
      </c>
      <c r="C33" s="89" t="s">
        <v>53</v>
      </c>
      <c r="D33" s="28">
        <f>SUMIFS(Tabela_vhod[Teža (kg)],Tabela_vhod[Klas. št. ],Tabela4[[#This Row],[Klas. št. ]],Tabela_vhod[Opomba],Tabela4[[#This Row],[Opomba]],Tabela_vhod[V skladišču],"DA")</f>
        <v>294</v>
      </c>
      <c r="E33" s="28">
        <f>COUNTIFS(Tabela_vhod[V skladišču],"DA",Tabela_vhod[Klas. št. ],Tabela4[[#This Row],[Klas. št. ]],Tabela_vhod[Opomba],Tabela4[[#This Row],[Opomba]])</f>
        <v>1</v>
      </c>
      <c r="F33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33" s="20">
        <f>COUNTIFS(Tabela_vhod[V skladišču],"DA",Tabela_vhod[Klas. št. ],Tabela4[[#This Row],[Klas. št. ]],Tabela_vhod[Opomba],Tabela4[[#This Row],[Opomba]],Tabela_vhod[Skladišno mesto],"Sklad-7")</f>
        <v>0</v>
      </c>
      <c r="H33" s="20">
        <f>SUMIFS(Tabela_vhod[Teža (kg)],Tabela_vhod[Klas. št. ],Tabela4[[#This Row],[Klas. št. ]],Tabela_vhod[Opomba],Tabela4[[#This Row],[Opomba]],Tabela_vhod[V skladišču],"DA",Tabela_vhod[Skladišno mesto],"Sklad-3")</f>
        <v>294</v>
      </c>
      <c r="I33" s="20">
        <f>COUNTIFS(Tabela_vhod[V skladišču],"DA",Tabela_vhod[Klas. št. ],Tabela4[[#This Row],[Klas. št. ]],Tabela_vhod[Opomba],Tabela4[[#This Row],[Opomba]],Tabela_vhod[Skladišno mesto],"Sklad-3")</f>
        <v>1</v>
      </c>
      <c r="J33" s="21">
        <f>_xlfn.MAXIFS(Tabela_vhod[Datum sprejema],Tabela_vhod[Klas. št. ],Tabela4[[#This Row],[Klas. št. ]],Tabela_vhod[Opomba],Tabela4[[#This Row],[Opomba]])</f>
        <v>44151</v>
      </c>
      <c r="K33" s="21">
        <f>_xlfn.MAXIFS(Tabela_izhod[Datum izvoza],Tabela_izhod[Klas. št. ],Tabela4[[#This Row],[Klas. št. ]],Tabela_izhod[Opomba],Tabela4[[#This Row],[Opomba]])</f>
        <v>44145</v>
      </c>
    </row>
    <row r="34" spans="1:11" s="2" customFormat="1" ht="30" customHeight="1" x14ac:dyDescent="0.25">
      <c r="A34" s="27" t="s">
        <v>0</v>
      </c>
      <c r="B34" s="28" t="str">
        <f>INDEX(Seznam_klasifikacij[Naziv],MATCH(Tabela4[[#This Row],[Klas. št. ]],Seznam_klasifikacij[Klasifikacija],0))</f>
        <v xml:space="preserve">Delci plastike </v>
      </c>
      <c r="C34" s="89" t="s">
        <v>41</v>
      </c>
      <c r="D34" s="28">
        <f>SUMIFS(Tabela_vhod[Teža (kg)],Tabela_vhod[Klas. št. ],Tabela4[[#This Row],[Klas. št. ]],Tabela_vhod[Opomba],Tabela4[[#This Row],[Opomba]],Tabela_vhod[V skladišču],"DA")</f>
        <v>3604</v>
      </c>
      <c r="E34" s="28">
        <f>COUNTIFS(Tabela_vhod[V skladišču],"DA",Tabela_vhod[Klas. št. ],Tabela4[[#This Row],[Klas. št. ]],Tabela_vhod[Opomba],Tabela4[[#This Row],[Opomba]])</f>
        <v>5</v>
      </c>
      <c r="F34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34" s="20">
        <f>COUNTIFS(Tabela_vhod[V skladišču],"DA",Tabela_vhod[Klas. št. ],Tabela4[[#This Row],[Klas. št. ]],Tabela_vhod[Opomba],Tabela4[[#This Row],[Opomba]],Tabela_vhod[Skladišno mesto],"Sklad-7")</f>
        <v>0</v>
      </c>
      <c r="H34" s="20">
        <f>SUMIFS(Tabela_vhod[Teža (kg)],Tabela_vhod[Klas. št. ],Tabela4[[#This Row],[Klas. št. ]],Tabela_vhod[Opomba],Tabela4[[#This Row],[Opomba]],Tabela_vhod[V skladišču],"DA",Tabela_vhod[Skladišno mesto],"Sklad-3")</f>
        <v>3604</v>
      </c>
      <c r="I34" s="20">
        <f>COUNTIFS(Tabela_vhod[V skladišču],"DA",Tabela_vhod[Klas. št. ],Tabela4[[#This Row],[Klas. št. ]],Tabela_vhod[Opomba],Tabela4[[#This Row],[Opomba]],Tabela_vhod[Skladišno mesto],"Sklad-3")</f>
        <v>5</v>
      </c>
      <c r="J34" s="21">
        <f>_xlfn.MAXIFS(Tabela_vhod[Datum sprejema],Tabela_vhod[Klas. št. ],Tabela4[[#This Row],[Klas. št. ]],Tabela_vhod[Opomba],Tabela4[[#This Row],[Opomba]])</f>
        <v>44146</v>
      </c>
      <c r="K34" s="21">
        <f>_xlfn.MAXIFS(Tabela_izhod[Datum izvoza],Tabela_izhod[Klas. št. ],Tabela4[[#This Row],[Klas. št. ]],Tabela_izhod[Opomba],Tabela4[[#This Row],[Opomba]])</f>
        <v>44145</v>
      </c>
    </row>
    <row r="35" spans="1:11" s="2" customFormat="1" ht="30" customHeight="1" x14ac:dyDescent="0.25">
      <c r="A35" s="27" t="s">
        <v>131</v>
      </c>
      <c r="B35" s="30" t="str">
        <f>INDEX(Seznam_klasifikacij[Naziv],MATCH(Tabela4[[#This Row],[Klas. št. ]],Seznam_klasifikacij[Klasifikacija],0))</f>
        <v>Mineralna strojna olja, ki ne vsebujejo halogenov (razen emulzij in raztopin)</v>
      </c>
      <c r="C35" s="89" t="s">
        <v>53</v>
      </c>
      <c r="D35" s="28">
        <f>SUMIFS(Tabela_vhod[Teža (kg)],Tabela_vhod[Klas. št. ],Tabela4[[#This Row],[Klas. št. ]],Tabela_vhod[Opomba],Tabela4[[#This Row],[Opomba]],Tabela_vhod[V skladišču],"DA")</f>
        <v>0</v>
      </c>
      <c r="E35" s="28">
        <f>COUNTIFS(Tabela_vhod[V skladišču],"DA",Tabela_vhod[Klas. št. ],Tabela4[[#This Row],[Klas. št. ]],Tabela_vhod[Opomba],Tabela4[[#This Row],[Opomba]])</f>
        <v>0</v>
      </c>
      <c r="F35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35" s="20">
        <f>COUNTIFS(Tabela_vhod[V skladišču],"DA",Tabela_vhod[Klas. št. ],Tabela4[[#This Row],[Klas. št. ]],Tabela_vhod[Opomba],Tabela4[[#This Row],[Opomba]],Tabela_vhod[Skladišno mesto],"Sklad-7")</f>
        <v>0</v>
      </c>
      <c r="H35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35" s="20">
        <f>COUNTIFS(Tabela_vhod[V skladišču],"DA",Tabela_vhod[Klas. št. ],Tabela4[[#This Row],[Klas. št. ]],Tabela_vhod[Opomba],Tabela4[[#This Row],[Opomba]],Tabela_vhod[Skladišno mesto],"Sklad-3")</f>
        <v>0</v>
      </c>
      <c r="J35" s="21">
        <f>_xlfn.MAXIFS(Tabela_vhod[Datum sprejema],Tabela_vhod[Klas. št. ],Tabela4[[#This Row],[Klas. št. ]],Tabela_vhod[Opomba],Tabela4[[#This Row],[Opomba]])</f>
        <v>0</v>
      </c>
      <c r="K35" s="21">
        <f>_xlfn.MAXIFS(Tabela_izhod[Datum izvoza],Tabela_izhod[Klas. št. ],Tabela4[[#This Row],[Klas. št. ]],Tabela_izhod[Opomba],Tabela4[[#This Row],[Opomba]])</f>
        <v>0</v>
      </c>
    </row>
    <row r="36" spans="1:11" s="2" customFormat="1" ht="30" customHeight="1" x14ac:dyDescent="0.25">
      <c r="A36" s="27" t="s">
        <v>18</v>
      </c>
      <c r="B36" s="28" t="str">
        <f>INDEX(Seznam_klasifikacij[Naziv],MATCH(Tabela4[[#This Row],[Klas. št. ]],Seznam_klasifikacij[Klasifikacija],0))</f>
        <v>Strojni mulji, ki niso navedeni pod 12 01 14</v>
      </c>
      <c r="C36" s="89" t="s">
        <v>53</v>
      </c>
      <c r="D36" s="28">
        <f>SUMIFS(Tabela_vhod[Teža (kg)],Tabela_vhod[Klas. št. ],Tabela4[[#This Row],[Klas. št. ]],Tabela_vhod[Opomba],Tabela4[[#This Row],[Opomba]],Tabela_vhod[V skladišču],"DA")</f>
        <v>114</v>
      </c>
      <c r="E36" s="28">
        <f>COUNTIFS(Tabela_vhod[V skladišču],"DA",Tabela_vhod[Klas. št. ],Tabela4[[#This Row],[Klas. št. ]],Tabela_vhod[Opomba],Tabela4[[#This Row],[Opomba]])</f>
        <v>1</v>
      </c>
      <c r="F36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36" s="20">
        <f>COUNTIFS(Tabela_vhod[V skladišču],"DA",Tabela_vhod[Klas. št. ],Tabela4[[#This Row],[Klas. št. ]],Tabela_vhod[Opomba],Tabela4[[#This Row],[Opomba]],Tabela_vhod[Skladišno mesto],"Sklad-7")</f>
        <v>0</v>
      </c>
      <c r="H36" s="20">
        <f>SUMIFS(Tabela_vhod[Teža (kg)],Tabela_vhod[Klas. št. ],Tabela4[[#This Row],[Klas. št. ]],Tabela_vhod[Opomba],Tabela4[[#This Row],[Opomba]],Tabela_vhod[V skladišču],"DA",Tabela_vhod[Skladišno mesto],"Sklad-3")</f>
        <v>114</v>
      </c>
      <c r="I36" s="20">
        <f>COUNTIFS(Tabela_vhod[V skladišču],"DA",Tabela_vhod[Klas. št. ],Tabela4[[#This Row],[Klas. št. ]],Tabela_vhod[Opomba],Tabela4[[#This Row],[Opomba]],Tabela_vhod[Skladišno mesto],"Sklad-3")</f>
        <v>1</v>
      </c>
      <c r="J36" s="21">
        <f>_xlfn.MAXIFS(Tabela_vhod[Datum sprejema],Tabela_vhod[Klas. št. ],Tabela4[[#This Row],[Klas. št. ]],Tabela_vhod[Opomba],Tabela4[[#This Row],[Opomba]])</f>
        <v>44093</v>
      </c>
      <c r="K36" s="21">
        <f>_xlfn.MAXIFS(Tabela_izhod[Datum izvoza],Tabela_izhod[Klas. št. ],Tabela4[[#This Row],[Klas. št. ]],Tabela_izhod[Opomba],Tabela4[[#This Row],[Opomba]])</f>
        <v>44110</v>
      </c>
    </row>
    <row r="37" spans="1:11" s="2" customFormat="1" ht="30" customHeight="1" x14ac:dyDescent="0.25">
      <c r="A37" s="27" t="s">
        <v>26</v>
      </c>
      <c r="B37" s="30" t="str">
        <f>INDEX(Seznam_klasifikacij[Naziv],MATCH(Tabela4[[#This Row],[Klas. št. ]],Seznam_klasifikacij[Klasifikacija],0))</f>
        <v xml:space="preserve">Odpadki, ki nastanejo pri peskanju in vsebujejo nevarne snovi </v>
      </c>
      <c r="C37" s="89" t="s">
        <v>47</v>
      </c>
      <c r="D37" s="28">
        <f>SUMIFS(Tabela_vhod[Teža (kg)],Tabela_vhod[Klas. št. ],Tabela4[[#This Row],[Klas. št. ]],Tabela_vhod[Opomba],Tabela4[[#This Row],[Opomba]],Tabela_vhod[V skladišču],"DA")</f>
        <v>0</v>
      </c>
      <c r="E37" s="28">
        <f>COUNTIFS(Tabela_vhod[V skladišču],"DA",Tabela_vhod[Klas. št. ],Tabela4[[#This Row],[Klas. št. ]],Tabela_vhod[Opomba],Tabela4[[#This Row],[Opomba]])</f>
        <v>0</v>
      </c>
      <c r="F37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37" s="20">
        <f>COUNTIFS(Tabela_vhod[V skladišču],"DA",Tabela_vhod[Klas. št. ],Tabela4[[#This Row],[Klas. št. ]],Tabela_vhod[Opomba],Tabela4[[#This Row],[Opomba]],Tabela_vhod[Skladišno mesto],"Sklad-7")</f>
        <v>0</v>
      </c>
      <c r="H37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37" s="20">
        <f>COUNTIFS(Tabela_vhod[V skladišču],"DA",Tabela_vhod[Klas. št. ],Tabela4[[#This Row],[Klas. št. ]],Tabela_vhod[Opomba],Tabela4[[#This Row],[Opomba]],Tabela_vhod[Skladišno mesto],"Sklad-3")</f>
        <v>0</v>
      </c>
      <c r="J37" s="21">
        <f>_xlfn.MAXIFS(Tabela_vhod[Datum sprejema],Tabela_vhod[Klas. št. ],Tabela4[[#This Row],[Klas. št. ]],Tabela_vhod[Opomba],Tabela4[[#This Row],[Opomba]])</f>
        <v>44039</v>
      </c>
      <c r="K37" s="21">
        <f>_xlfn.MAXIFS(Tabela_izhod[Datum izvoza],Tabela_izhod[Klas. št. ],Tabela4[[#This Row],[Klas. št. ]],Tabela_izhod[Opomba],Tabela4[[#This Row],[Opomba]])</f>
        <v>44068</v>
      </c>
    </row>
    <row r="38" spans="1:11" s="2" customFormat="1" ht="30" customHeight="1" x14ac:dyDescent="0.25">
      <c r="A38" s="27" t="s">
        <v>26</v>
      </c>
      <c r="B38" s="28" t="str">
        <f>INDEX(Seznam_klasifikacij[Naziv],MATCH(Tabela4[[#This Row],[Klas. št. ]],Seznam_klasifikacij[Klasifikacija],0))</f>
        <v xml:space="preserve">Odpadki, ki nastanejo pri peskanju in vsebujejo nevarne snovi </v>
      </c>
      <c r="C38" s="89" t="s">
        <v>53</v>
      </c>
      <c r="D38" s="28">
        <f>SUMIFS(Tabela_vhod[Teža (kg)],Tabela_vhod[Klas. št. ],Tabela4[[#This Row],[Klas. št. ]],Tabela_vhod[Opomba],Tabela4[[#This Row],[Opomba]],Tabela_vhod[V skladišču],"DA")</f>
        <v>592</v>
      </c>
      <c r="E38" s="28">
        <f>COUNTIFS(Tabela_vhod[V skladišču],"DA",Tabela_vhod[Klas. št. ],Tabela4[[#This Row],[Klas. št. ]],Tabela_vhod[Opomba],Tabela4[[#This Row],[Opomba]])</f>
        <v>1</v>
      </c>
      <c r="F38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38" s="20">
        <f>COUNTIFS(Tabela_vhod[V skladišču],"DA",Tabela_vhod[Klas. št. ],Tabela4[[#This Row],[Klas. št. ]],Tabela_vhod[Opomba],Tabela4[[#This Row],[Opomba]],Tabela_vhod[Skladišno mesto],"Sklad-7")</f>
        <v>0</v>
      </c>
      <c r="H38" s="20">
        <f>SUMIFS(Tabela_vhod[Teža (kg)],Tabela_vhod[Klas. št. ],Tabela4[[#This Row],[Klas. št. ]],Tabela_vhod[Opomba],Tabela4[[#This Row],[Opomba]],Tabela_vhod[V skladišču],"DA",Tabela_vhod[Skladišno mesto],"Sklad-3")</f>
        <v>592</v>
      </c>
      <c r="I38" s="20">
        <f>COUNTIFS(Tabela_vhod[V skladišču],"DA",Tabela_vhod[Klas. št. ],Tabela4[[#This Row],[Klas. št. ]],Tabela_vhod[Opomba],Tabela4[[#This Row],[Opomba]],Tabela_vhod[Skladišno mesto],"Sklad-3")</f>
        <v>1</v>
      </c>
      <c r="J38" s="21">
        <f>_xlfn.MAXIFS(Tabela_vhod[Datum sprejema],Tabela_vhod[Klas. št. ],Tabela4[[#This Row],[Klas. št. ]],Tabela_vhod[Opomba],Tabela4[[#This Row],[Opomba]])</f>
        <v>44136</v>
      </c>
      <c r="K38" s="21">
        <f>_xlfn.MAXIFS(Tabela_izhod[Datum izvoza],Tabela_izhod[Klas. št. ],Tabela4[[#This Row],[Klas. št. ]],Tabela_izhod[Opomba],Tabela4[[#This Row],[Opomba]])</f>
        <v>44110</v>
      </c>
    </row>
    <row r="39" spans="1:11" s="2" customFormat="1" ht="30" customHeight="1" x14ac:dyDescent="0.25">
      <c r="A39" s="27" t="s">
        <v>2</v>
      </c>
      <c r="B39" s="30" t="str">
        <f>INDEX(Seznam_klasifikacij[Naziv],MATCH(Tabela4[[#This Row],[Klas. št. ]],Seznam_klasifikacij[Klasifikacija],0))</f>
        <v xml:space="preserve">Odpadki, ki nastanejo pri peskanju in niso zajeti v 12 01 16 </v>
      </c>
      <c r="C39" s="89" t="s">
        <v>47</v>
      </c>
      <c r="D39" s="28">
        <f>SUMIFS(Tabela_vhod[Teža (kg)],Tabela_vhod[Klas. št. ],Tabela4[[#This Row],[Klas. št. ]],Tabela_vhod[Opomba],Tabela4[[#This Row],[Opomba]],Tabela_vhod[V skladišču],"DA")</f>
        <v>1802</v>
      </c>
      <c r="E39" s="28">
        <f>COUNTIFS(Tabela_vhod[V skladišču],"DA",Tabela_vhod[Klas. št. ],Tabela4[[#This Row],[Klas. št. ]],Tabela_vhod[Opomba],Tabela4[[#This Row],[Opomba]])</f>
        <v>1</v>
      </c>
      <c r="F39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39" s="20">
        <f>COUNTIFS(Tabela_vhod[V skladišču],"DA",Tabela_vhod[Klas. št. ],Tabela4[[#This Row],[Klas. št. ]],Tabela_vhod[Opomba],Tabela4[[#This Row],[Opomba]],Tabela_vhod[Skladišno mesto],"Sklad-7")</f>
        <v>0</v>
      </c>
      <c r="H39" s="20">
        <f>SUMIFS(Tabela_vhod[Teža (kg)],Tabela_vhod[Klas. št. ],Tabela4[[#This Row],[Klas. št. ]],Tabela_vhod[Opomba],Tabela4[[#This Row],[Opomba]],Tabela_vhod[V skladišču],"DA",Tabela_vhod[Skladišno mesto],"Sklad-3")</f>
        <v>1802</v>
      </c>
      <c r="I39" s="20">
        <f>COUNTIFS(Tabela_vhod[V skladišču],"DA",Tabela_vhod[Klas. št. ],Tabela4[[#This Row],[Klas. št. ]],Tabela_vhod[Opomba],Tabela4[[#This Row],[Opomba]],Tabela_vhod[Skladišno mesto],"Sklad-3")</f>
        <v>1</v>
      </c>
      <c r="J39" s="21">
        <f>_xlfn.MAXIFS(Tabela_vhod[Datum sprejema],Tabela_vhod[Klas. št. ],Tabela4[[#This Row],[Klas. št. ]],Tabela_vhod[Opomba],Tabela4[[#This Row],[Opomba]])</f>
        <v>44076</v>
      </c>
      <c r="K39" s="21">
        <f>_xlfn.MAXIFS(Tabela_izhod[Datum izvoza],Tabela_izhod[Klas. št. ],Tabela4[[#This Row],[Klas. št. ]],Tabela_izhod[Opomba],Tabela4[[#This Row],[Opomba]])</f>
        <v>44068</v>
      </c>
    </row>
    <row r="40" spans="1:11" s="2" customFormat="1" ht="30" customHeight="1" x14ac:dyDescent="0.25">
      <c r="A40" s="27" t="s">
        <v>2</v>
      </c>
      <c r="B40" s="28" t="str">
        <f>INDEX(Seznam_klasifikacij[Naziv],MATCH(Tabela4[[#This Row],[Klas. št. ]],Seznam_klasifikacij[Klasifikacija],0))</f>
        <v xml:space="preserve">Odpadki, ki nastanejo pri peskanju in niso zajeti v 12 01 16 </v>
      </c>
      <c r="C40" s="89" t="s">
        <v>53</v>
      </c>
      <c r="D40" s="28">
        <f>SUMIFS(Tabela_vhod[Teža (kg)],Tabela_vhod[Klas. št. ],Tabela4[[#This Row],[Klas. št. ]],Tabela_vhod[Opomba],Tabela4[[#This Row],[Opomba]],Tabela_vhod[V skladišču],"DA")</f>
        <v>2562</v>
      </c>
      <c r="E40" s="28">
        <f>COUNTIFS(Tabela_vhod[V skladišču],"DA",Tabela_vhod[Klas. št. ],Tabela4[[#This Row],[Klas. št. ]],Tabela_vhod[Opomba],Tabela4[[#This Row],[Opomba]])</f>
        <v>4</v>
      </c>
      <c r="F40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40" s="20">
        <f>COUNTIFS(Tabela_vhod[V skladišču],"DA",Tabela_vhod[Klas. št. ],Tabela4[[#This Row],[Klas. št. ]],Tabela_vhod[Opomba],Tabela4[[#This Row],[Opomba]],Tabela_vhod[Skladišno mesto],"Sklad-7")</f>
        <v>0</v>
      </c>
      <c r="H40" s="20">
        <f>SUMIFS(Tabela_vhod[Teža (kg)],Tabela_vhod[Klas. št. ],Tabela4[[#This Row],[Klas. št. ]],Tabela_vhod[Opomba],Tabela4[[#This Row],[Opomba]],Tabela_vhod[V skladišču],"DA",Tabela_vhod[Skladišno mesto],"Sklad-3")</f>
        <v>2562</v>
      </c>
      <c r="I40" s="20">
        <f>COUNTIFS(Tabela_vhod[V skladišču],"DA",Tabela_vhod[Klas. št. ],Tabela4[[#This Row],[Klas. št. ]],Tabela_vhod[Opomba],Tabela4[[#This Row],[Opomba]],Tabela_vhod[Skladišno mesto],"Sklad-3")</f>
        <v>4</v>
      </c>
      <c r="J40" s="21">
        <f>_xlfn.MAXIFS(Tabela_vhod[Datum sprejema],Tabela_vhod[Klas. št. ],Tabela4[[#This Row],[Klas. št. ]],Tabela_vhod[Opomba],Tabela4[[#This Row],[Opomba]])</f>
        <v>44136</v>
      </c>
      <c r="K40" s="21">
        <f>_xlfn.MAXIFS(Tabela_izhod[Datum izvoza],Tabela_izhod[Klas. št. ],Tabela4[[#This Row],[Klas. št. ]],Tabela_izhod[Opomba],Tabela4[[#This Row],[Opomba]])</f>
        <v>44110</v>
      </c>
    </row>
    <row r="41" spans="1:11" s="2" customFormat="1" ht="30" customHeight="1" x14ac:dyDescent="0.25">
      <c r="A41" s="27" t="s">
        <v>58</v>
      </c>
      <c r="B41" s="30" t="str">
        <f>INDEX(Seznam_klasifikacij[Naziv],MATCH(Tabela4[[#This Row],[Klas. št. ]],Seznam_klasifikacij[Klasifikacija],0))</f>
        <v>Izrabljena brusilna telesa in brusilni materiali, ki niso navedeni pod 12 01 20</v>
      </c>
      <c r="C41" s="89" t="s">
        <v>53</v>
      </c>
      <c r="D41" s="28">
        <f>SUMIFS(Tabela_vhod[Teža (kg)],Tabela_vhod[Klas. št. ],Tabela4[[#This Row],[Klas. št. ]],Tabela_vhod[Opomba],Tabela4[[#This Row],[Opomba]],Tabela_vhod[V skladišču],"DA")</f>
        <v>0</v>
      </c>
      <c r="E41" s="28">
        <f>COUNTIFS(Tabela_vhod[V skladišču],"DA",Tabela_vhod[Klas. št. ],Tabela4[[#This Row],[Klas. št. ]],Tabela_vhod[Opomba],Tabela4[[#This Row],[Opomba]])</f>
        <v>0</v>
      </c>
      <c r="F41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41" s="20">
        <f>COUNTIFS(Tabela_vhod[V skladišču],"DA",Tabela_vhod[Klas. št. ],Tabela4[[#This Row],[Klas. št. ]],Tabela_vhod[Opomba],Tabela4[[#This Row],[Opomba]],Tabela_vhod[Skladišno mesto],"Sklad-7")</f>
        <v>0</v>
      </c>
      <c r="H41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41" s="20">
        <f>COUNTIFS(Tabela_vhod[V skladišču],"DA",Tabela_vhod[Klas. št. ],Tabela4[[#This Row],[Klas. št. ]],Tabela_vhod[Opomba],Tabela4[[#This Row],[Opomba]],Tabela_vhod[Skladišno mesto],"Sklad-3")</f>
        <v>0</v>
      </c>
      <c r="J41" s="21">
        <f>_xlfn.MAXIFS(Tabela_vhod[Datum sprejema],Tabela_vhod[Klas. št. ],Tabela4[[#This Row],[Klas. št. ]],Tabela_vhod[Opomba],Tabela4[[#This Row],[Opomba]])</f>
        <v>44094</v>
      </c>
      <c r="K41" s="21">
        <f>_xlfn.MAXIFS(Tabela_izhod[Datum izvoza],Tabela_izhod[Klas. št. ],Tabela4[[#This Row],[Klas. št. ]],Tabela_izhod[Opomba],Tabela4[[#This Row],[Opomba]])</f>
        <v>44133</v>
      </c>
    </row>
    <row r="42" spans="1:11" s="2" customFormat="1" ht="30" customHeight="1" x14ac:dyDescent="0.25">
      <c r="A42" s="27" t="s">
        <v>133</v>
      </c>
      <c r="B42" s="30" t="str">
        <f>INDEX(Seznam_klasifikacij[Naziv],MATCH(Tabela4[[#This Row],[Klas. št. ]],Seznam_klasifikacij[Klasifikacija],0))</f>
        <v>Mineralna neklorirana motorna olja, olja prestavnih mehanizmov in mazalna olja</v>
      </c>
      <c r="C42" s="89" t="s">
        <v>53</v>
      </c>
      <c r="D42" s="28">
        <f>SUMIFS(Tabela_vhod[Teža (kg)],Tabela_vhod[Klas. št. ],Tabela4[[#This Row],[Klas. št. ]],Tabela_vhod[Opomba],Tabela4[[#This Row],[Opomba]],Tabela_vhod[V skladišču],"DA")</f>
        <v>0</v>
      </c>
      <c r="E42" s="28">
        <f>COUNTIFS(Tabela_vhod[V skladišču],"DA",Tabela_vhod[Klas. št. ],Tabela4[[#This Row],[Klas. št. ]],Tabela_vhod[Opomba],Tabela4[[#This Row],[Opomba]])</f>
        <v>0</v>
      </c>
      <c r="F42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42" s="20">
        <f>COUNTIFS(Tabela_vhod[V skladišču],"DA",Tabela_vhod[Klas. št. ],Tabela4[[#This Row],[Klas. št. ]],Tabela_vhod[Opomba],Tabela4[[#This Row],[Opomba]],Tabela_vhod[Skladišno mesto],"Sklad-7")</f>
        <v>0</v>
      </c>
      <c r="H42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42" s="20">
        <f>COUNTIFS(Tabela_vhod[V skladišču],"DA",Tabela_vhod[Klas. št. ],Tabela4[[#This Row],[Klas. št. ]],Tabela_vhod[Opomba],Tabela4[[#This Row],[Opomba]],Tabela_vhod[Skladišno mesto],"Sklad-3")</f>
        <v>0</v>
      </c>
      <c r="J42" s="21">
        <f>_xlfn.MAXIFS(Tabela_vhod[Datum sprejema],Tabela_vhod[Klas. št. ],Tabela4[[#This Row],[Klas. št. ]],Tabela_vhod[Opomba],Tabela4[[#This Row],[Opomba]])</f>
        <v>0</v>
      </c>
      <c r="K42" s="21">
        <f>_xlfn.MAXIFS(Tabela_izhod[Datum izvoza],Tabela_izhod[Klas. št. ],Tabela4[[#This Row],[Klas. št. ]],Tabela_izhod[Opomba],Tabela4[[#This Row],[Opomba]])</f>
        <v>0</v>
      </c>
    </row>
    <row r="43" spans="1:11" s="2" customFormat="1" ht="30" customHeight="1" x14ac:dyDescent="0.25">
      <c r="A43" s="27" t="s">
        <v>135</v>
      </c>
      <c r="B43" s="30" t="str">
        <f>INDEX(Seznam_klasifikacij[Naziv],MATCH(Tabela4[[#This Row],[Klas. št. ]],Seznam_klasifikacij[Klasifikacija],0))</f>
        <v>Mulji iz naprav za ločevanje olja in vode</v>
      </c>
      <c r="C43" s="89" t="s">
        <v>53</v>
      </c>
      <c r="D43" s="28">
        <f>SUMIFS(Tabela_vhod[Teža (kg)],Tabela_vhod[Klas. št. ],Tabela4[[#This Row],[Klas. št. ]],Tabela_vhod[Opomba],Tabela4[[#This Row],[Opomba]],Tabela_vhod[V skladišču],"DA")</f>
        <v>0</v>
      </c>
      <c r="E43" s="28">
        <f>COUNTIFS(Tabela_vhod[V skladišču],"DA",Tabela_vhod[Klas. št. ],Tabela4[[#This Row],[Klas. št. ]],Tabela_vhod[Opomba],Tabela4[[#This Row],[Opomba]])</f>
        <v>0</v>
      </c>
      <c r="F43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43" s="20">
        <f>COUNTIFS(Tabela_vhod[V skladišču],"DA",Tabela_vhod[Klas. št. ],Tabela4[[#This Row],[Klas. št. ]],Tabela_vhod[Opomba],Tabela4[[#This Row],[Opomba]],Tabela_vhod[Skladišno mesto],"Sklad-7")</f>
        <v>0</v>
      </c>
      <c r="H43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43" s="20">
        <f>COUNTIFS(Tabela_vhod[V skladišču],"DA",Tabela_vhod[Klas. št. ],Tabela4[[#This Row],[Klas. št. ]],Tabela_vhod[Opomba],Tabela4[[#This Row],[Opomba]],Tabela_vhod[Skladišno mesto],"Sklad-3")</f>
        <v>0</v>
      </c>
      <c r="J43" s="21">
        <f>_xlfn.MAXIFS(Tabela_vhod[Datum sprejema],Tabela_vhod[Klas. št. ],Tabela4[[#This Row],[Klas. št. ]],Tabela_vhod[Opomba],Tabela4[[#This Row],[Opomba]])</f>
        <v>0</v>
      </c>
      <c r="K43" s="21">
        <f>_xlfn.MAXIFS(Tabela_izhod[Datum izvoza],Tabela_izhod[Klas. št. ],Tabela4[[#This Row],[Klas. št. ]],Tabela_izhod[Opomba],Tabela4[[#This Row],[Opomba]])</f>
        <v>0</v>
      </c>
    </row>
    <row r="44" spans="1:11" s="2" customFormat="1" ht="30" customHeight="1" x14ac:dyDescent="0.25">
      <c r="A44" s="27" t="s">
        <v>137</v>
      </c>
      <c r="B44" s="30" t="str">
        <f>INDEX(Seznam_klasifikacij[Naziv],MATCH(Tabela4[[#This Row],[Klas. št. ]],Seznam_klasifikacij[Klasifikacija],0))</f>
        <v>Z oljem onesnažena voda iz naprav za ločevanje olja in vode</v>
      </c>
      <c r="C44" s="89" t="s">
        <v>53</v>
      </c>
      <c r="D44" s="28">
        <f>SUMIFS(Tabela_vhod[Teža (kg)],Tabela_vhod[Klas. št. ],Tabela4[[#This Row],[Klas. št. ]],Tabela_vhod[Opomba],Tabela4[[#This Row],[Opomba]],Tabela_vhod[V skladišču],"DA")</f>
        <v>0</v>
      </c>
      <c r="E44" s="28">
        <f>COUNTIFS(Tabela_vhod[V skladišču],"DA",Tabela_vhod[Klas. št. ],Tabela4[[#This Row],[Klas. št. ]],Tabela_vhod[Opomba],Tabela4[[#This Row],[Opomba]])</f>
        <v>0</v>
      </c>
      <c r="F44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44" s="20">
        <f>COUNTIFS(Tabela_vhod[V skladišču],"DA",Tabela_vhod[Klas. št. ],Tabela4[[#This Row],[Klas. št. ]],Tabela_vhod[Opomba],Tabela4[[#This Row],[Opomba]],Tabela_vhod[Skladišno mesto],"Sklad-7")</f>
        <v>0</v>
      </c>
      <c r="H44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44" s="20">
        <f>COUNTIFS(Tabela_vhod[V skladišču],"DA",Tabela_vhod[Klas. št. ],Tabela4[[#This Row],[Klas. št. ]],Tabela_vhod[Opomba],Tabela4[[#This Row],[Opomba]],Tabela_vhod[Skladišno mesto],"Sklad-3")</f>
        <v>0</v>
      </c>
      <c r="J44" s="21">
        <f>_xlfn.MAXIFS(Tabela_vhod[Datum sprejema],Tabela_vhod[Klas. št. ],Tabela4[[#This Row],[Klas. št. ]],Tabela_vhod[Opomba],Tabela4[[#This Row],[Opomba]])</f>
        <v>0</v>
      </c>
      <c r="K44" s="21">
        <f>_xlfn.MAXIFS(Tabela_izhod[Datum izvoza],Tabela_izhod[Klas. št. ],Tabela4[[#This Row],[Klas. št. ]],Tabela_izhod[Opomba],Tabela4[[#This Row],[Opomba]])</f>
        <v>0</v>
      </c>
    </row>
    <row r="45" spans="1:11" s="2" customFormat="1" ht="30" customHeight="1" x14ac:dyDescent="0.25">
      <c r="A45" s="27" t="s">
        <v>139</v>
      </c>
      <c r="B45" s="30" t="str">
        <f>INDEX(Seznam_klasifikacij[Naziv],MATCH(Tabela4[[#This Row],[Klas. št. ]],Seznam_klasifikacij[Klasifikacija],0))</f>
        <v>Kurilno olje in dizel</v>
      </c>
      <c r="C45" s="89" t="s">
        <v>53</v>
      </c>
      <c r="D45" s="28">
        <f>SUMIFS(Tabela_vhod[Teža (kg)],Tabela_vhod[Klas. št. ],Tabela4[[#This Row],[Klas. št. ]],Tabela_vhod[Opomba],Tabela4[[#This Row],[Opomba]],Tabela_vhod[V skladišču],"DA")</f>
        <v>0</v>
      </c>
      <c r="E45" s="28">
        <f>COUNTIFS(Tabela_vhod[V skladišču],"DA",Tabela_vhod[Klas. št. ],Tabela4[[#This Row],[Klas. št. ]],Tabela_vhod[Opomba],Tabela4[[#This Row],[Opomba]])</f>
        <v>0</v>
      </c>
      <c r="F45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45" s="20">
        <f>COUNTIFS(Tabela_vhod[V skladišču],"DA",Tabela_vhod[Klas. št. ],Tabela4[[#This Row],[Klas. št. ]],Tabela_vhod[Opomba],Tabela4[[#This Row],[Opomba]],Tabela_vhod[Skladišno mesto],"Sklad-7")</f>
        <v>0</v>
      </c>
      <c r="H45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45" s="20">
        <f>COUNTIFS(Tabela_vhod[V skladišču],"DA",Tabela_vhod[Klas. št. ],Tabela4[[#This Row],[Klas. št. ]],Tabela_vhod[Opomba],Tabela4[[#This Row],[Opomba]],Tabela_vhod[Skladišno mesto],"Sklad-3")</f>
        <v>0</v>
      </c>
      <c r="J45" s="21">
        <f>_xlfn.MAXIFS(Tabela_vhod[Datum sprejema],Tabela_vhod[Klas. št. ],Tabela4[[#This Row],[Klas. št. ]],Tabela_vhod[Opomba],Tabela4[[#This Row],[Opomba]])</f>
        <v>0</v>
      </c>
      <c r="K45" s="21">
        <f>_xlfn.MAXIFS(Tabela_izhod[Datum izvoza],Tabela_izhod[Klas. št. ],Tabela4[[#This Row],[Klas. št. ]],Tabela_izhod[Opomba],Tabela4[[#This Row],[Opomba]])</f>
        <v>0</v>
      </c>
    </row>
    <row r="46" spans="1:11" s="2" customFormat="1" ht="30" customHeight="1" x14ac:dyDescent="0.25">
      <c r="A46" s="27" t="s">
        <v>141</v>
      </c>
      <c r="B46" s="30" t="str">
        <f>INDEX(Seznam_klasifikacij[Naziv],MATCH(Tabela4[[#This Row],[Klas. št. ]],Seznam_klasifikacij[Klasifikacija],0))</f>
        <v>Bencin</v>
      </c>
      <c r="C46" s="89" t="s">
        <v>53</v>
      </c>
      <c r="D46" s="28">
        <f>SUMIFS(Tabela_vhod[Teža (kg)],Tabela_vhod[Klas. št. ],Tabela4[[#This Row],[Klas. št. ]],Tabela_vhod[Opomba],Tabela4[[#This Row],[Opomba]],Tabela_vhod[V skladišču],"DA")</f>
        <v>0</v>
      </c>
      <c r="E46" s="28">
        <f>COUNTIFS(Tabela_vhod[V skladišču],"DA",Tabela_vhod[Klas. št. ],Tabela4[[#This Row],[Klas. št. ]],Tabela_vhod[Opomba],Tabela4[[#This Row],[Opomba]])</f>
        <v>0</v>
      </c>
      <c r="F46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46" s="20">
        <f>COUNTIFS(Tabela_vhod[V skladišču],"DA",Tabela_vhod[Klas. št. ],Tabela4[[#This Row],[Klas. št. ]],Tabela_vhod[Opomba],Tabela4[[#This Row],[Opomba]],Tabela_vhod[Skladišno mesto],"Sklad-7")</f>
        <v>0</v>
      </c>
      <c r="H46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46" s="20">
        <f>COUNTIFS(Tabela_vhod[V skladišču],"DA",Tabela_vhod[Klas. št. ],Tabela4[[#This Row],[Klas. št. ]],Tabela_vhod[Opomba],Tabela4[[#This Row],[Opomba]],Tabela_vhod[Skladišno mesto],"Sklad-3")</f>
        <v>0</v>
      </c>
      <c r="J46" s="21">
        <f>_xlfn.MAXIFS(Tabela_vhod[Datum sprejema],Tabela_vhod[Klas. št. ],Tabela4[[#This Row],[Klas. št. ]],Tabela_vhod[Opomba],Tabela4[[#This Row],[Opomba]])</f>
        <v>0</v>
      </c>
      <c r="K46" s="21">
        <f>_xlfn.MAXIFS(Tabela_izhod[Datum izvoza],Tabela_izhod[Klas. št. ],Tabela4[[#This Row],[Klas. št. ]],Tabela_izhod[Opomba],Tabela4[[#This Row],[Opomba]])</f>
        <v>0</v>
      </c>
    </row>
    <row r="47" spans="1:11" s="2" customFormat="1" ht="30" customHeight="1" x14ac:dyDescent="0.25">
      <c r="A47" s="27" t="s">
        <v>143</v>
      </c>
      <c r="B47" s="30" t="str">
        <f>INDEX(Seznam_klasifikacij[Naziv],MATCH(Tabela4[[#This Row],[Klas. št. ]],Seznam_klasifikacij[Klasifikacija],0))</f>
        <v>Druga goriva, tudi mešanice</v>
      </c>
      <c r="C47" s="89" t="s">
        <v>53</v>
      </c>
      <c r="D47" s="28">
        <f>SUMIFS(Tabela_vhod[Teža (kg)],Tabela_vhod[Klas. št. ],Tabela4[[#This Row],[Klas. št. ]],Tabela_vhod[Opomba],Tabela4[[#This Row],[Opomba]],Tabela_vhod[V skladišču],"DA")</f>
        <v>0</v>
      </c>
      <c r="E47" s="28">
        <f>COUNTIFS(Tabela_vhod[V skladišču],"DA",Tabela_vhod[Klas. št. ],Tabela4[[#This Row],[Klas. št. ]],Tabela_vhod[Opomba],Tabela4[[#This Row],[Opomba]])</f>
        <v>0</v>
      </c>
      <c r="F47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47" s="20">
        <f>COUNTIFS(Tabela_vhod[V skladišču],"DA",Tabela_vhod[Klas. št. ],Tabela4[[#This Row],[Klas. št. ]],Tabela_vhod[Opomba],Tabela4[[#This Row],[Opomba]],Tabela_vhod[Skladišno mesto],"Sklad-7")</f>
        <v>0</v>
      </c>
      <c r="H47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47" s="20">
        <f>COUNTIFS(Tabela_vhod[V skladišču],"DA",Tabela_vhod[Klas. št. ],Tabela4[[#This Row],[Klas. št. ]],Tabela_vhod[Opomba],Tabela4[[#This Row],[Opomba]],Tabela_vhod[Skladišno mesto],"Sklad-3")</f>
        <v>0</v>
      </c>
      <c r="J47" s="21">
        <f>_xlfn.MAXIFS(Tabela_vhod[Datum sprejema],Tabela_vhod[Klas. št. ],Tabela4[[#This Row],[Klas. št. ]],Tabela_vhod[Opomba],Tabela4[[#This Row],[Opomba]])</f>
        <v>0</v>
      </c>
      <c r="K47" s="21">
        <f>_xlfn.MAXIFS(Tabela_izhod[Datum izvoza],Tabela_izhod[Klas. št. ],Tabela4[[#This Row],[Klas. št. ]],Tabela_izhod[Opomba],Tabela4[[#This Row],[Opomba]])</f>
        <v>0</v>
      </c>
    </row>
    <row r="48" spans="1:11" s="2" customFormat="1" ht="30" customHeight="1" x14ac:dyDescent="0.25">
      <c r="A48" s="27" t="s">
        <v>145</v>
      </c>
      <c r="B48" s="30" t="str">
        <f>INDEX(Seznam_klasifikacij[Naziv],MATCH(Tabela4[[#This Row],[Klas. št. ]],Seznam_klasifikacij[Klasifikacija],0))</f>
        <v>Druga topila in mešanice topil</v>
      </c>
      <c r="C48" s="89" t="s">
        <v>53</v>
      </c>
      <c r="D48" s="28">
        <f>SUMIFS(Tabela_vhod[Teža (kg)],Tabela_vhod[Klas. št. ],Tabela4[[#This Row],[Klas. št. ]],Tabela_vhod[Opomba],Tabela4[[#This Row],[Opomba]],Tabela_vhod[V skladišču],"DA")</f>
        <v>0</v>
      </c>
      <c r="E48" s="28">
        <f>COUNTIFS(Tabela_vhod[V skladišču],"DA",Tabela_vhod[Klas. št. ],Tabela4[[#This Row],[Klas. št. ]],Tabela_vhod[Opomba],Tabela4[[#This Row],[Opomba]])</f>
        <v>0</v>
      </c>
      <c r="F48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48" s="20">
        <f>COUNTIFS(Tabela_vhod[V skladišču],"DA",Tabela_vhod[Klas. št. ],Tabela4[[#This Row],[Klas. št. ]],Tabela_vhod[Opomba],Tabela4[[#This Row],[Opomba]],Tabela_vhod[Skladišno mesto],"Sklad-7")</f>
        <v>0</v>
      </c>
      <c r="H48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48" s="20">
        <f>COUNTIFS(Tabela_vhod[V skladišču],"DA",Tabela_vhod[Klas. št. ],Tabela4[[#This Row],[Klas. št. ]],Tabela_vhod[Opomba],Tabela4[[#This Row],[Opomba]],Tabela_vhod[Skladišno mesto],"Sklad-3")</f>
        <v>0</v>
      </c>
      <c r="J48" s="21">
        <f>_xlfn.MAXIFS(Tabela_vhod[Datum sprejema],Tabela_vhod[Klas. št. ],Tabela4[[#This Row],[Klas. št. ]],Tabela_vhod[Opomba],Tabela4[[#This Row],[Opomba]])</f>
        <v>0</v>
      </c>
      <c r="K48" s="21">
        <f>_xlfn.MAXIFS(Tabela_izhod[Datum izvoza],Tabela_izhod[Klas. št. ],Tabela4[[#This Row],[Klas. št. ]],Tabela_izhod[Opomba],Tabela4[[#This Row],[Opomba]])</f>
        <v>0</v>
      </c>
    </row>
    <row r="49" spans="1:11" s="2" customFormat="1" ht="30" customHeight="1" x14ac:dyDescent="0.25">
      <c r="A49" s="27" t="s">
        <v>21</v>
      </c>
      <c r="B49" s="28" t="str">
        <f>INDEX(Seznam_klasifikacij[Naziv],MATCH(Tabela4[[#This Row],[Klas. št. ]],Seznam_klasifikacij[Klasifikacija],0))</f>
        <v>Plastična embalaža (FOLIJA)</v>
      </c>
      <c r="C49" s="89" t="s">
        <v>53</v>
      </c>
      <c r="D49" s="28">
        <f>SUMIFS(Tabela_vhod[Teža (kg)],Tabela_vhod[Klas. št. ],Tabela4[[#This Row],[Klas. št. ]],Tabela_vhod[Opomba],Tabela4[[#This Row],[Opomba]],Tabela_vhod[V skladišču],"DA")</f>
        <v>336</v>
      </c>
      <c r="E49" s="28">
        <f>COUNTIFS(Tabela_vhod[V skladišču],"DA",Tabela_vhod[Klas. št. ],Tabela4[[#This Row],[Klas. št. ]],Tabela_vhod[Opomba],Tabela4[[#This Row],[Opomba]])</f>
        <v>10</v>
      </c>
      <c r="F49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49" s="20">
        <f>COUNTIFS(Tabela_vhod[V skladišču],"DA",Tabela_vhod[Klas. št. ],Tabela4[[#This Row],[Klas. št. ]],Tabela_vhod[Opomba],Tabela4[[#This Row],[Opomba]],Tabela_vhod[Skladišno mesto],"Sklad-7")</f>
        <v>0</v>
      </c>
      <c r="H49" s="20">
        <f>SUMIFS(Tabela_vhod[Teža (kg)],Tabela_vhod[Klas. št. ],Tabela4[[#This Row],[Klas. št. ]],Tabela_vhod[Opomba],Tabela4[[#This Row],[Opomba]],Tabela_vhod[V skladišču],"DA",Tabela_vhod[Skladišno mesto],"Sklad-3")</f>
        <v>336</v>
      </c>
      <c r="I49" s="20">
        <f>COUNTIFS(Tabela_vhod[V skladišču],"DA",Tabela_vhod[Klas. št. ],Tabela4[[#This Row],[Klas. št. ]],Tabela_vhod[Opomba],Tabela4[[#This Row],[Opomba]],Tabela_vhod[Skladišno mesto],"Sklad-3")</f>
        <v>10</v>
      </c>
      <c r="J49" s="21">
        <f>_xlfn.MAXIFS(Tabela_vhod[Datum sprejema],Tabela_vhod[Klas. št. ],Tabela4[[#This Row],[Klas. št. ]],Tabela_vhod[Opomba],Tabela4[[#This Row],[Opomba]])</f>
        <v>44151</v>
      </c>
      <c r="K49" s="21">
        <f>_xlfn.MAXIFS(Tabela_izhod[Datum izvoza],Tabela_izhod[Klas. št. ],Tabela4[[#This Row],[Klas. št. ]],Tabela_izhod[Opomba],Tabela4[[#This Row],[Opomba]])</f>
        <v>44134</v>
      </c>
    </row>
    <row r="50" spans="1:11" s="2" customFormat="1" ht="30" customHeight="1" x14ac:dyDescent="0.25">
      <c r="A50" s="27" t="s">
        <v>149</v>
      </c>
      <c r="B50" s="30" t="str">
        <f>INDEX(Seznam_klasifikacij[Naziv],MATCH(Tabela4[[#This Row],[Klas. št. ]],Seznam_klasifikacij[Klasifikacija],0))</f>
        <v>Zavorne tekočine</v>
      </c>
      <c r="C50" s="89" t="s">
        <v>53</v>
      </c>
      <c r="D50" s="28">
        <f>SUMIFS(Tabela_vhod[Teža (kg)],Tabela_vhod[Klas. št. ],Tabela4[[#This Row],[Klas. št. ]],Tabela_vhod[Opomba],Tabela4[[#This Row],[Opomba]],Tabela_vhod[V skladišču],"DA")</f>
        <v>0</v>
      </c>
      <c r="E50" s="28">
        <f>COUNTIFS(Tabela_vhod[V skladišču],"DA",Tabela_vhod[Klas. št. ],Tabela4[[#This Row],[Klas. št. ]],Tabela_vhod[Opomba],Tabela4[[#This Row],[Opomba]])</f>
        <v>0</v>
      </c>
      <c r="F50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50" s="20">
        <f>COUNTIFS(Tabela_vhod[V skladišču],"DA",Tabela_vhod[Klas. št. ],Tabela4[[#This Row],[Klas. št. ]],Tabela_vhod[Opomba],Tabela4[[#This Row],[Opomba]],Tabela_vhod[Skladišno mesto],"Sklad-7")</f>
        <v>0</v>
      </c>
      <c r="H50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50" s="20">
        <f>COUNTIFS(Tabela_vhod[V skladišču],"DA",Tabela_vhod[Klas. št. ],Tabela4[[#This Row],[Klas. št. ]],Tabela_vhod[Opomba],Tabela4[[#This Row],[Opomba]],Tabela_vhod[Skladišno mesto],"Sklad-3")</f>
        <v>0</v>
      </c>
      <c r="J50" s="21">
        <f>_xlfn.MAXIFS(Tabela_vhod[Datum sprejema],Tabela_vhod[Klas. št. ],Tabela4[[#This Row],[Klas. št. ]],Tabela_vhod[Opomba],Tabela4[[#This Row],[Opomba]])</f>
        <v>0</v>
      </c>
      <c r="K50" s="21">
        <f>_xlfn.MAXIFS(Tabela_izhod[Datum izvoza],Tabela_izhod[Klas. št. ],Tabela4[[#This Row],[Klas. št. ]],Tabela_izhod[Opomba],Tabela4[[#This Row],[Opomba]])</f>
        <v>0</v>
      </c>
    </row>
    <row r="51" spans="1:11" s="2" customFormat="1" ht="30" customHeight="1" x14ac:dyDescent="0.25">
      <c r="A51" s="27" t="s">
        <v>151</v>
      </c>
      <c r="B51" s="30" t="str">
        <f>INDEX(Seznam_klasifikacij[Naziv],MATCH(Tabela4[[#This Row],[Klas. št. ]],Seznam_klasifikacij[Klasifikacija],0))</f>
        <v>Tekočine proti zmrzovanju, ki vsebujejo nevarne snovi</v>
      </c>
      <c r="C51" s="89" t="s">
        <v>53</v>
      </c>
      <c r="D51" s="28">
        <f>SUMIFS(Tabela_vhod[Teža (kg)],Tabela_vhod[Klas. št. ],Tabela4[[#This Row],[Klas. št. ]],Tabela_vhod[Opomba],Tabela4[[#This Row],[Opomba]],Tabela_vhod[V skladišču],"DA")</f>
        <v>0</v>
      </c>
      <c r="E51" s="28">
        <f>COUNTIFS(Tabela_vhod[V skladišču],"DA",Tabela_vhod[Klas. št. ],Tabela4[[#This Row],[Klas. št. ]],Tabela_vhod[Opomba],Tabela4[[#This Row],[Opomba]])</f>
        <v>0</v>
      </c>
      <c r="F51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51" s="20">
        <f>COUNTIFS(Tabela_vhod[V skladišču],"DA",Tabela_vhod[Klas. št. ],Tabela4[[#This Row],[Klas. št. ]],Tabela_vhod[Opomba],Tabela4[[#This Row],[Opomba]],Tabela_vhod[Skladišno mesto],"Sklad-7")</f>
        <v>0</v>
      </c>
      <c r="H51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51" s="20">
        <f>COUNTIFS(Tabela_vhod[V skladišču],"DA",Tabela_vhod[Klas. št. ],Tabela4[[#This Row],[Klas. št. ]],Tabela_vhod[Opomba],Tabela4[[#This Row],[Opomba]],Tabela_vhod[Skladišno mesto],"Sklad-3")</f>
        <v>0</v>
      </c>
      <c r="J51" s="21">
        <f>_xlfn.MAXIFS(Tabela_vhod[Datum sprejema],Tabela_vhod[Klas. št. ],Tabela4[[#This Row],[Klas. št. ]],Tabela_vhod[Opomba],Tabela4[[#This Row],[Opomba]])</f>
        <v>0</v>
      </c>
      <c r="K51" s="21">
        <f>_xlfn.MAXIFS(Tabela_izhod[Datum izvoza],Tabela_izhod[Klas. št. ],Tabela4[[#This Row],[Klas. št. ]],Tabela_izhod[Opomba],Tabela4[[#This Row],[Opomba]])</f>
        <v>0</v>
      </c>
    </row>
    <row r="52" spans="1:11" s="2" customFormat="1" ht="30" customHeight="1" x14ac:dyDescent="0.25">
      <c r="A52" s="27" t="s">
        <v>153</v>
      </c>
      <c r="B52" s="30" t="str">
        <f>INDEX(Seznam_klasifikacij[Naziv],MATCH(Tabela4[[#This Row],[Klas. št. ]],Seznam_klasifikacij[Klasifikacija],0))</f>
        <v>Tekočine proti zmrzovanju, ki niso navedene pod 16 01 14</v>
      </c>
      <c r="C52" s="89" t="s">
        <v>53</v>
      </c>
      <c r="D52" s="28">
        <f>SUMIFS(Tabela_vhod[Teža (kg)],Tabela_vhod[Klas. št. ],Tabela4[[#This Row],[Klas. št. ]],Tabela_vhod[Opomba],Tabela4[[#This Row],[Opomba]],Tabela_vhod[V skladišču],"DA")</f>
        <v>0</v>
      </c>
      <c r="E52" s="28">
        <f>COUNTIFS(Tabela_vhod[V skladišču],"DA",Tabela_vhod[Klas. št. ],Tabela4[[#This Row],[Klas. št. ]],Tabela_vhod[Opomba],Tabela4[[#This Row],[Opomba]])</f>
        <v>0</v>
      </c>
      <c r="F52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52" s="20">
        <f>COUNTIFS(Tabela_vhod[V skladišču],"DA",Tabela_vhod[Klas. št. ],Tabela4[[#This Row],[Klas. št. ]],Tabela_vhod[Opomba],Tabela4[[#This Row],[Opomba]],Tabela_vhod[Skladišno mesto],"Sklad-7")</f>
        <v>0</v>
      </c>
      <c r="H52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52" s="20">
        <f>COUNTIFS(Tabela_vhod[V skladišču],"DA",Tabela_vhod[Klas. št. ],Tabela4[[#This Row],[Klas. št. ]],Tabela_vhod[Opomba],Tabela4[[#This Row],[Opomba]],Tabela_vhod[Skladišno mesto],"Sklad-3")</f>
        <v>0</v>
      </c>
      <c r="J52" s="21">
        <f>_xlfn.MAXIFS(Tabela_vhod[Datum sprejema],Tabela_vhod[Klas. št. ],Tabela4[[#This Row],[Klas. št. ]],Tabela_vhod[Opomba],Tabela4[[#This Row],[Opomba]])</f>
        <v>0</v>
      </c>
      <c r="K52" s="21">
        <f>_xlfn.MAXIFS(Tabela_izhod[Datum izvoza],Tabela_izhod[Klas. št. ],Tabela4[[#This Row],[Klas. št. ]],Tabela_izhod[Opomba],Tabela4[[#This Row],[Opomba]])</f>
        <v>0</v>
      </c>
    </row>
    <row r="53" spans="1:11" s="2" customFormat="1" ht="30" customHeight="1" x14ac:dyDescent="0.25">
      <c r="A53" s="27" t="s">
        <v>155</v>
      </c>
      <c r="B53" s="30" t="str">
        <f>INDEX(Seznam_klasifikacij[Naziv],MATCH(Tabela4[[#This Row],[Klas. št. ]],Seznam_klasifikacij[Klasifikacija],0))</f>
        <v>Plastika</v>
      </c>
      <c r="C53" s="89" t="s">
        <v>53</v>
      </c>
      <c r="D53" s="28">
        <f>SUMIFS(Tabela_vhod[Teža (kg)],Tabela_vhod[Klas. št. ],Tabela4[[#This Row],[Klas. št. ]],Tabela_vhod[Opomba],Tabela4[[#This Row],[Opomba]],Tabela_vhod[V skladišču],"DA")</f>
        <v>0</v>
      </c>
      <c r="E53" s="28">
        <f>COUNTIFS(Tabela_vhod[V skladišču],"DA",Tabela_vhod[Klas. št. ],Tabela4[[#This Row],[Klas. št. ]],Tabela_vhod[Opomba],Tabela4[[#This Row],[Opomba]])</f>
        <v>0</v>
      </c>
      <c r="F53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53" s="20">
        <f>COUNTIFS(Tabela_vhod[V skladišču],"DA",Tabela_vhod[Klas. št. ],Tabela4[[#This Row],[Klas. št. ]],Tabela_vhod[Opomba],Tabela4[[#This Row],[Opomba]],Tabela_vhod[Skladišno mesto],"Sklad-7")</f>
        <v>0</v>
      </c>
      <c r="H53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53" s="20">
        <f>COUNTIFS(Tabela_vhod[V skladišču],"DA",Tabela_vhod[Klas. št. ],Tabela4[[#This Row],[Klas. št. ]],Tabela_vhod[Opomba],Tabela4[[#This Row],[Opomba]],Tabela_vhod[Skladišno mesto],"Sklad-3")</f>
        <v>0</v>
      </c>
      <c r="J53" s="21">
        <f>_xlfn.MAXIFS(Tabela_vhod[Datum sprejema],Tabela_vhod[Klas. št. ],Tabela4[[#This Row],[Klas. št. ]],Tabela_vhod[Opomba],Tabela4[[#This Row],[Opomba]])</f>
        <v>0</v>
      </c>
      <c r="K53" s="21">
        <f>_xlfn.MAXIFS(Tabela_izhod[Datum izvoza],Tabela_izhod[Klas. št. ],Tabela4[[#This Row],[Klas. št. ]],Tabela_izhod[Opomba],Tabela4[[#This Row],[Opomba]])</f>
        <v>0</v>
      </c>
    </row>
    <row r="54" spans="1:11" s="2" customFormat="1" ht="30" customHeight="1" x14ac:dyDescent="0.25">
      <c r="A54" s="27" t="s">
        <v>91</v>
      </c>
      <c r="B54" s="30" t="str">
        <f>INDEX(Seznam_klasifikacij[Naziv],MATCH(Tabela4[[#This Row],[Klas. št. ]],Seznam_klasifikacij[Klasifikacija],0))</f>
        <v>Nevarne sestavine, ki niso navedene pod 16 01 07 do 16 01 11 ter 16 01 13 in 16 01 14</v>
      </c>
      <c r="C54" s="89" t="s">
        <v>53</v>
      </c>
      <c r="D54" s="28">
        <f>SUMIFS(Tabela_vhod[Teža (kg)],Tabela_vhod[Klas. št. ],Tabela4[[#This Row],[Klas. št. ]],Tabela_vhod[Opomba],Tabela4[[#This Row],[Opomba]],Tabela_vhod[V skladišču],"DA")</f>
        <v>0</v>
      </c>
      <c r="E54" s="28">
        <f>COUNTIFS(Tabela_vhod[V skladišču],"DA",Tabela_vhod[Klas. št. ],Tabela4[[#This Row],[Klas. št. ]],Tabela_vhod[Opomba],Tabela4[[#This Row],[Opomba]])</f>
        <v>0</v>
      </c>
      <c r="F54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54" s="20">
        <f>COUNTIFS(Tabela_vhod[V skladišču],"DA",Tabela_vhod[Klas. št. ],Tabela4[[#This Row],[Klas. št. ]],Tabela_vhod[Opomba],Tabela4[[#This Row],[Opomba]],Tabela_vhod[Skladišno mesto],"Sklad-7")</f>
        <v>0</v>
      </c>
      <c r="H54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54" s="20">
        <f>COUNTIFS(Tabela_vhod[V skladišču],"DA",Tabela_vhod[Klas. št. ],Tabela4[[#This Row],[Klas. št. ]],Tabela_vhod[Opomba],Tabela4[[#This Row],[Opomba]],Tabela_vhod[Skladišno mesto],"Sklad-3")</f>
        <v>0</v>
      </c>
      <c r="J54" s="21">
        <f>_xlfn.MAXIFS(Tabela_vhod[Datum sprejema],Tabela_vhod[Klas. št. ],Tabela4[[#This Row],[Klas. št. ]],Tabela_vhod[Opomba],Tabela4[[#This Row],[Opomba]])</f>
        <v>44039</v>
      </c>
      <c r="K54" s="21">
        <f>_xlfn.MAXIFS(Tabela_izhod[Datum izvoza],Tabela_izhod[Klas. št. ],Tabela4[[#This Row],[Klas. št. ]],Tabela_izhod[Opomba],Tabela4[[#This Row],[Opomba]])</f>
        <v>44084</v>
      </c>
    </row>
    <row r="55" spans="1:11" s="2" customFormat="1" ht="30" customHeight="1" x14ac:dyDescent="0.25">
      <c r="A55" s="27" t="s">
        <v>64</v>
      </c>
      <c r="B55" s="30" t="str">
        <f>INDEX(Seznam_klasifikacij[Naziv],MATCH(Tabela4[[#This Row],[Klas. št. ]],Seznam_klasifikacij[Klasifikacija],0))</f>
        <v>Anorganski odpadki, ki niso navedeni pod 16 03 03</v>
      </c>
      <c r="C55" s="89" t="s">
        <v>53</v>
      </c>
      <c r="D55" s="28">
        <f>SUMIFS(Tabela_vhod[Teža (kg)],Tabela_vhod[Klas. št. ],Tabela4[[#This Row],[Klas. št. ]],Tabela_vhod[Opomba],Tabela4[[#This Row],[Opomba]],Tabela_vhod[V skladišču],"DA")</f>
        <v>0</v>
      </c>
      <c r="E55" s="28">
        <f>COUNTIFS(Tabela_vhod[V skladišču],"DA",Tabela_vhod[Klas. št. ],Tabela4[[#This Row],[Klas. št. ]],Tabela_vhod[Opomba],Tabela4[[#This Row],[Opomba]])</f>
        <v>0</v>
      </c>
      <c r="F55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55" s="20">
        <f>COUNTIFS(Tabela_vhod[V skladišču],"DA",Tabela_vhod[Klas. št. ],Tabela4[[#This Row],[Klas. št. ]],Tabela_vhod[Opomba],Tabela4[[#This Row],[Opomba]],Tabela_vhod[Skladišno mesto],"Sklad-7")</f>
        <v>0</v>
      </c>
      <c r="H55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55" s="20">
        <f>COUNTIFS(Tabela_vhod[V skladišču],"DA",Tabela_vhod[Klas. št. ],Tabela4[[#This Row],[Klas. št. ]],Tabela_vhod[Opomba],Tabela4[[#This Row],[Opomba]],Tabela_vhod[Skladišno mesto],"Sklad-3")</f>
        <v>0</v>
      </c>
      <c r="J55" s="21">
        <f>_xlfn.MAXIFS(Tabela_vhod[Datum sprejema],Tabela_vhod[Klas. št. ],Tabela4[[#This Row],[Klas. št. ]],Tabela_vhod[Opomba],Tabela4[[#This Row],[Opomba]])</f>
        <v>44041</v>
      </c>
      <c r="K55" s="21">
        <f>_xlfn.MAXIFS(Tabela_izhod[Datum izvoza],Tabela_izhod[Klas. št. ],Tabela4[[#This Row],[Klas. št. ]],Tabela_izhod[Opomba],Tabela4[[#This Row],[Opomba]])</f>
        <v>44063</v>
      </c>
    </row>
    <row r="56" spans="1:11" s="2" customFormat="1" ht="30" customHeight="1" x14ac:dyDescent="0.25">
      <c r="A56" s="27" t="s">
        <v>157</v>
      </c>
      <c r="B56" s="30" t="str">
        <f>INDEX(Seznam_klasifikacij[Naziv],MATCH(Tabela4[[#This Row],[Klas. št. ]],Seznam_klasifikacij[Klasifikacija],0))</f>
        <v>Laboratorijske kemikalije, ki so sestavljene iz nevarne snovi ali jih vsebujejo, vključno z mešanicami laboratorijskih kemikalij</v>
      </c>
      <c r="C56" s="89" t="s">
        <v>53</v>
      </c>
      <c r="D56" s="28">
        <f>SUMIFS(Tabela_vhod[Teža (kg)],Tabela_vhod[Klas. št. ],Tabela4[[#This Row],[Klas. št. ]],Tabela_vhod[Opomba],Tabela4[[#This Row],[Opomba]],Tabela_vhod[V skladišču],"DA")</f>
        <v>3898</v>
      </c>
      <c r="E56" s="28">
        <f>COUNTIFS(Tabela_vhod[V skladišču],"DA",Tabela_vhod[Klas. št. ],Tabela4[[#This Row],[Klas. št. ]],Tabela_vhod[Opomba],Tabela4[[#This Row],[Opomba]])</f>
        <v>13</v>
      </c>
      <c r="F56" s="20">
        <f>SUMIFS(Tabela_vhod[Teža (kg)],Tabela_vhod[Klas. št. ],Tabela4[[#This Row],[Klas. št. ]],Tabela_vhod[Opomba],Tabela4[[#This Row],[Opomba]],Tabela_vhod[V skladišču],"DA",Tabela_vhod[Skladišno mesto],"Sklad-7")</f>
        <v>3898</v>
      </c>
      <c r="G56" s="20">
        <f>COUNTIFS(Tabela_vhod[V skladišču],"DA",Tabela_vhod[Klas. št. ],Tabela4[[#This Row],[Klas. št. ]],Tabela_vhod[Opomba],Tabela4[[#This Row],[Opomba]],Tabela_vhod[Skladišno mesto],"Sklad-7")</f>
        <v>13</v>
      </c>
      <c r="H56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56" s="20">
        <f>COUNTIFS(Tabela_vhod[V skladišču],"DA",Tabela_vhod[Klas. št. ],Tabela4[[#This Row],[Klas. št. ]],Tabela_vhod[Opomba],Tabela4[[#This Row],[Opomba]],Tabela_vhod[Skladišno mesto],"Sklad-3")</f>
        <v>0</v>
      </c>
      <c r="J56" s="21">
        <f>_xlfn.MAXIFS(Tabela_vhod[Datum sprejema],Tabela_vhod[Klas. št. ],Tabela4[[#This Row],[Klas. št. ]],Tabela_vhod[Opomba],Tabela4[[#This Row],[Opomba]])</f>
        <v>44114</v>
      </c>
      <c r="K56" s="21">
        <f>_xlfn.MAXIFS(Tabela_izhod[Datum izvoza],Tabela_izhod[Klas. št. ],Tabela4[[#This Row],[Klas. št. ]],Tabela_izhod[Opomba],Tabela4[[#This Row],[Opomba]])</f>
        <v>0</v>
      </c>
    </row>
    <row r="57" spans="1:11" s="2" customFormat="1" ht="30" customHeight="1" x14ac:dyDescent="0.25">
      <c r="A57" s="27" t="s">
        <v>159</v>
      </c>
      <c r="B57" s="30" t="str">
        <f>INDEX(Seznam_klasifikacij[Naziv],MATCH(Tabela4[[#This Row],[Klas. št. ]],Seznam_klasifikacij[Klasifikacija],0))</f>
        <v>Zavržene organske kemikalije, ki so sestavljene iz ali vsebujejo nevarne snovi</v>
      </c>
      <c r="C57" s="89" t="s">
        <v>53</v>
      </c>
      <c r="D57" s="28">
        <f>SUMIFS(Tabela_vhod[Teža (kg)],Tabela_vhod[Klas. št. ],Tabela4[[#This Row],[Klas. št. ]],Tabela_vhod[Opomba],Tabela4[[#This Row],[Opomba]],Tabela_vhod[V skladišču],"DA")</f>
        <v>0</v>
      </c>
      <c r="E57" s="28">
        <f>COUNTIFS(Tabela_vhod[V skladišču],"DA",Tabela_vhod[Klas. št. ],Tabela4[[#This Row],[Klas. št. ]],Tabela_vhod[Opomba],Tabela4[[#This Row],[Opomba]])</f>
        <v>0</v>
      </c>
      <c r="F57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57" s="20">
        <f>COUNTIFS(Tabela_vhod[V skladišču],"DA",Tabela_vhod[Klas. št. ],Tabela4[[#This Row],[Klas. št. ]],Tabela_vhod[Opomba],Tabela4[[#This Row],[Opomba]],Tabela_vhod[Skladišno mesto],"Sklad-7")</f>
        <v>0</v>
      </c>
      <c r="H57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57" s="20">
        <f>COUNTIFS(Tabela_vhod[V skladišču],"DA",Tabela_vhod[Klas. št. ],Tabela4[[#This Row],[Klas. št. ]],Tabela_vhod[Opomba],Tabela4[[#This Row],[Opomba]],Tabela_vhod[Skladišno mesto],"Sklad-3")</f>
        <v>0</v>
      </c>
      <c r="J57" s="21">
        <f>_xlfn.MAXIFS(Tabela_vhod[Datum sprejema],Tabela_vhod[Klas. št. ],Tabela4[[#This Row],[Klas. št. ]],Tabela_vhod[Opomba],Tabela4[[#This Row],[Opomba]])</f>
        <v>0</v>
      </c>
      <c r="K57" s="21">
        <f>_xlfn.MAXIFS(Tabela_izhod[Datum izvoza],Tabela_izhod[Klas. št. ],Tabela4[[#This Row],[Klas. št. ]],Tabela_izhod[Opomba],Tabela4[[#This Row],[Opomba]])</f>
        <v>0</v>
      </c>
    </row>
    <row r="58" spans="1:11" s="2" customFormat="1" ht="30" customHeight="1" x14ac:dyDescent="0.25">
      <c r="A58" s="27" t="s">
        <v>29</v>
      </c>
      <c r="B58" s="30" t="str">
        <f>INDEX(Seznam_klasifikacij[Naziv],MATCH(Tabela4[[#This Row],[Klas. št. ]],Seznam_klasifikacij[Klasifikacija],0))</f>
        <v>Nikelj-kadmijeve baterije</v>
      </c>
      <c r="C58" s="89" t="s">
        <v>229</v>
      </c>
      <c r="D58" s="30">
        <f>SUMIFS(Tabela_vhod[Teža (kg)],Tabela_vhod[Klas. št. ],Tabela4[[#This Row],[Klas. št. ]],Tabela_vhod[Opomba],Tabela4[[#This Row],[Opomba]],Tabela_vhod[V skladišču],"DA")</f>
        <v>8474</v>
      </c>
      <c r="E58" s="30">
        <f>COUNTIFS(Tabela_vhod[V skladišču],"DA",Tabela_vhod[Klas. št. ],Tabela4[[#This Row],[Klas. št. ]],Tabela_vhod[Opomba],Tabela4[[#This Row],[Opomba]])</f>
        <v>8</v>
      </c>
      <c r="F58" s="20">
        <f>SUMIFS(Tabela_vhod[Teža (kg)],Tabela_vhod[Klas. št. ],Tabela4[[#This Row],[Klas. št. ]],Tabela_vhod[Opomba],Tabela4[[#This Row],[Opomba]],Tabela_vhod[V skladišču],"DA",Tabela_vhod[Skladišno mesto],"Sklad-7")</f>
        <v>8474</v>
      </c>
      <c r="G58" s="20">
        <f>COUNTIFS(Tabela_vhod[V skladišču],"DA",Tabela_vhod[Klas. št. ],Tabela4[[#This Row],[Klas. št. ]],Tabela_vhod[Opomba],Tabela4[[#This Row],[Opomba]],Tabela_vhod[Skladišno mesto],"Sklad-7")</f>
        <v>8</v>
      </c>
      <c r="H58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58" s="20">
        <f>COUNTIFS(Tabela_vhod[V skladišču],"DA",Tabela_vhod[Klas. št. ],Tabela4[[#This Row],[Klas. št. ]],Tabela_vhod[Opomba],Tabela4[[#This Row],[Opomba]],Tabela_vhod[Skladišno mesto],"Sklad-3")</f>
        <v>0</v>
      </c>
      <c r="J58" s="21">
        <f>_xlfn.MAXIFS(Tabela_vhod[Datum sprejema],Tabela_vhod[Klas. št. ],Tabela4[[#This Row],[Klas. št. ]],Tabela_vhod[Opomba],Tabela4[[#This Row],[Opomba]])</f>
        <v>44114</v>
      </c>
      <c r="K58" s="21">
        <f>_xlfn.MAXIFS(Tabela_izhod[Datum izvoza],Tabela_izhod[Klas. št. ],Tabela4[[#This Row],[Klas. št. ]],Tabela_izhod[Opomba],Tabela4[[#This Row],[Opomba]])</f>
        <v>0</v>
      </c>
    </row>
    <row r="59" spans="1:11" s="2" customFormat="1" ht="30" customHeight="1" x14ac:dyDescent="0.25">
      <c r="A59" s="27" t="s">
        <v>29</v>
      </c>
      <c r="B59" s="28" t="str">
        <f>INDEX(Seznam_klasifikacij[Naziv],MATCH(Tabela4[[#This Row],[Klas. št. ]],Seznam_klasifikacij[Klasifikacija],0))</f>
        <v>Nikelj-kadmijeve baterije</v>
      </c>
      <c r="C59" s="89" t="s">
        <v>53</v>
      </c>
      <c r="D59" s="28">
        <f>SUMIFS(Tabela_vhod[Teža (kg)],Tabela_vhod[Klas. št. ],Tabela4[[#This Row],[Klas. št. ]],Tabela_vhod[Opomba],Tabela4[[#This Row],[Opomba]],Tabela_vhod[V skladišču],"DA")</f>
        <v>1</v>
      </c>
      <c r="E59" s="28">
        <f>COUNTIFS(Tabela_vhod[V skladišču],"DA",Tabela_vhod[Klas. št. ],Tabela4[[#This Row],[Klas. št. ]],Tabela_vhod[Opomba],Tabela4[[#This Row],[Opomba]])</f>
        <v>1</v>
      </c>
      <c r="F59" s="20">
        <f>SUMIFS(Tabela_vhod[Teža (kg)],Tabela_vhod[Klas. št. ],Tabela4[[#This Row],[Klas. št. ]],Tabela_vhod[Opomba],Tabela4[[#This Row],[Opomba]],Tabela_vhod[V skladišču],"DA",Tabela_vhod[Skladišno mesto],"Sklad-7")</f>
        <v>1</v>
      </c>
      <c r="G59" s="20">
        <f>COUNTIFS(Tabela_vhod[V skladišču],"DA",Tabela_vhod[Klas. št. ],Tabela4[[#This Row],[Klas. št. ]],Tabela_vhod[Opomba],Tabela4[[#This Row],[Opomba]],Tabela_vhod[Skladišno mesto],"Sklad-7")</f>
        <v>1</v>
      </c>
      <c r="H59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59" s="20">
        <f>COUNTIFS(Tabela_vhod[V skladišču],"DA",Tabela_vhod[Klas. št. ],Tabela4[[#This Row],[Klas. št. ]],Tabela_vhod[Opomba],Tabela4[[#This Row],[Opomba]],Tabela_vhod[Skladišno mesto],"Sklad-3")</f>
        <v>0</v>
      </c>
      <c r="J59" s="21">
        <f>_xlfn.MAXIFS(Tabela_vhod[Datum sprejema],Tabela_vhod[Klas. št. ],Tabela4[[#This Row],[Klas. št. ]],Tabela_vhod[Opomba],Tabela4[[#This Row],[Opomba]])</f>
        <v>44114</v>
      </c>
      <c r="K59" s="21">
        <f>_xlfn.MAXIFS(Tabela_izhod[Datum izvoza],Tabela_izhod[Klas. št. ],Tabela4[[#This Row],[Klas. št. ]],Tabela_izhod[Opomba],Tabela4[[#This Row],[Opomba]])</f>
        <v>44145</v>
      </c>
    </row>
    <row r="60" spans="1:11" s="2" customFormat="1" ht="30" customHeight="1" x14ac:dyDescent="0.25">
      <c r="A60" s="27" t="s">
        <v>161</v>
      </c>
      <c r="B60" s="30" t="str">
        <f>INDEX(Seznam_klasifikacij[Naziv],MATCH(Tabela4[[#This Row],[Klas. št. ]],Seznam_klasifikacij[Klasifikacija],0))</f>
        <v>Ločeno zbrani elektroliti iz baterij in akumulatorjev</v>
      </c>
      <c r="C60" s="89" t="s">
        <v>229</v>
      </c>
      <c r="D60" s="30">
        <f>SUMIFS(Tabela_vhod[Teža (kg)],Tabela_vhod[Klas. št. ],Tabela4[[#This Row],[Klas. št. ]],Tabela_vhod[Opomba],Tabela4[[#This Row],[Opomba]],Tabela_vhod[V skladišču],"DA")</f>
        <v>1</v>
      </c>
      <c r="E60" s="30">
        <f>COUNTIFS(Tabela_vhod[V skladišču],"DA",Tabela_vhod[Klas. št. ],Tabela4[[#This Row],[Klas. št. ]],Tabela_vhod[Opomba],Tabela4[[#This Row],[Opomba]])</f>
        <v>1</v>
      </c>
      <c r="F60" s="20">
        <f>SUMIFS(Tabela_vhod[Teža (kg)],Tabela_vhod[Klas. št. ],Tabela4[[#This Row],[Klas. št. ]],Tabela_vhod[Opomba],Tabela4[[#This Row],[Opomba]],Tabela_vhod[V skladišču],"DA",Tabela_vhod[Skladišno mesto],"Sklad-7")</f>
        <v>1</v>
      </c>
      <c r="G60" s="20">
        <f>COUNTIFS(Tabela_vhod[V skladišču],"DA",Tabela_vhod[Klas. št. ],Tabela4[[#This Row],[Klas. št. ]],Tabela_vhod[Opomba],Tabela4[[#This Row],[Opomba]],Tabela_vhod[Skladišno mesto],"Sklad-7")</f>
        <v>1</v>
      </c>
      <c r="H60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60" s="20">
        <f>COUNTIFS(Tabela_vhod[V skladišču],"DA",Tabela_vhod[Klas. št. ],Tabela4[[#This Row],[Klas. št. ]],Tabela_vhod[Opomba],Tabela4[[#This Row],[Opomba]],Tabela_vhod[Skladišno mesto],"Sklad-3")</f>
        <v>0</v>
      </c>
      <c r="J60" s="21">
        <f>_xlfn.MAXIFS(Tabela_vhod[Datum sprejema],Tabela_vhod[Klas. št. ],Tabela4[[#This Row],[Klas. št. ]],Tabela_vhod[Opomba],Tabela4[[#This Row],[Opomba]])</f>
        <v>44114</v>
      </c>
      <c r="K60" s="21">
        <f>_xlfn.MAXIFS(Tabela_izhod[Datum izvoza],Tabela_izhod[Klas. št. ],Tabela4[[#This Row],[Klas. št. ]],Tabela_izhod[Opomba],Tabela4[[#This Row],[Opomba]])</f>
        <v>0</v>
      </c>
    </row>
    <row r="61" spans="1:11" s="2" customFormat="1" ht="30" customHeight="1" x14ac:dyDescent="0.25">
      <c r="A61" s="27" t="s">
        <v>161</v>
      </c>
      <c r="B61" s="30" t="str">
        <f>INDEX(Seznam_klasifikacij[Naziv],MATCH(Tabela4[[#This Row],[Klas. št. ]],Seznam_klasifikacij[Klasifikacija],0))</f>
        <v>Ločeno zbrani elektroliti iz baterij in akumulatorjev</v>
      </c>
      <c r="C61" s="89" t="s">
        <v>53</v>
      </c>
      <c r="D61" s="28">
        <f>SUMIFS(Tabela_vhod[Teža (kg)],Tabela_vhod[Klas. št. ],Tabela4[[#This Row],[Klas. št. ]],Tabela_vhod[Opomba],Tabela4[[#This Row],[Opomba]],Tabela_vhod[V skladišču],"DA")</f>
        <v>0</v>
      </c>
      <c r="E61" s="28">
        <f>COUNTIFS(Tabela_vhod[V skladišču],"DA",Tabela_vhod[Klas. št. ],Tabela4[[#This Row],[Klas. št. ]],Tabela_vhod[Opomba],Tabela4[[#This Row],[Opomba]])</f>
        <v>0</v>
      </c>
      <c r="F61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61" s="20">
        <f>COUNTIFS(Tabela_vhod[V skladišču],"DA",Tabela_vhod[Klas. št. ],Tabela4[[#This Row],[Klas. št. ]],Tabela_vhod[Opomba],Tabela4[[#This Row],[Opomba]],Tabela_vhod[Skladišno mesto],"Sklad-7")</f>
        <v>0</v>
      </c>
      <c r="H61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61" s="20">
        <f>COUNTIFS(Tabela_vhod[V skladišču],"DA",Tabela_vhod[Klas. št. ],Tabela4[[#This Row],[Klas. št. ]],Tabela_vhod[Opomba],Tabela4[[#This Row],[Opomba]],Tabela_vhod[Skladišno mesto],"Sklad-3")</f>
        <v>0</v>
      </c>
      <c r="J61" s="21">
        <f>_xlfn.MAXIFS(Tabela_vhod[Datum sprejema],Tabela_vhod[Klas. št. ],Tabela4[[#This Row],[Klas. št. ]],Tabela_vhod[Opomba],Tabela4[[#This Row],[Opomba]])</f>
        <v>0</v>
      </c>
      <c r="K61" s="21">
        <f>_xlfn.MAXIFS(Tabela_izhod[Datum izvoza],Tabela_izhod[Klas. št. ],Tabela4[[#This Row],[Klas. št. ]],Tabela_izhod[Opomba],Tabela4[[#This Row],[Opomba]])</f>
        <v>0</v>
      </c>
    </row>
    <row r="62" spans="1:11" s="2" customFormat="1" ht="30" customHeight="1" x14ac:dyDescent="0.25">
      <c r="A62" s="27" t="s">
        <v>163</v>
      </c>
      <c r="B62" s="30" t="str">
        <f>INDEX(Seznam_klasifikacij[Naziv],MATCH(Tabela4[[#This Row],[Klas. št. ]],Seznam_klasifikacij[Klasifikacija],0))</f>
        <v>Odpadne vodne raztopine, ki vsebujejo nevarne snovi</v>
      </c>
      <c r="C62" s="89" t="s">
        <v>53</v>
      </c>
      <c r="D62" s="28">
        <f>SUMIFS(Tabela_vhod[Teža (kg)],Tabela_vhod[Klas. št. ],Tabela4[[#This Row],[Klas. št. ]],Tabela_vhod[Opomba],Tabela4[[#This Row],[Opomba]],Tabela_vhod[V skladišču],"DA")</f>
        <v>865</v>
      </c>
      <c r="E62" s="28">
        <f>COUNTIFS(Tabela_vhod[V skladišču],"DA",Tabela_vhod[Klas. št. ],Tabela4[[#This Row],[Klas. št. ]],Tabela_vhod[Opomba],Tabela4[[#This Row],[Opomba]])</f>
        <v>2</v>
      </c>
      <c r="F62" s="20">
        <f>SUMIFS(Tabela_vhod[Teža (kg)],Tabela_vhod[Klas. št. ],Tabela4[[#This Row],[Klas. št. ]],Tabela_vhod[Opomba],Tabela4[[#This Row],[Opomba]],Tabela_vhod[V skladišču],"DA",Tabela_vhod[Skladišno mesto],"Sklad-7")</f>
        <v>865</v>
      </c>
      <c r="G62" s="20">
        <f>COUNTIFS(Tabela_vhod[V skladišču],"DA",Tabela_vhod[Klas. št. ],Tabela4[[#This Row],[Klas. št. ]],Tabela_vhod[Opomba],Tabela4[[#This Row],[Opomba]],Tabela_vhod[Skladišno mesto],"Sklad-7")</f>
        <v>2</v>
      </c>
      <c r="H62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62" s="20">
        <f>COUNTIFS(Tabela_vhod[V skladišču],"DA",Tabela_vhod[Klas. št. ],Tabela4[[#This Row],[Klas. št. ]],Tabela_vhod[Opomba],Tabela4[[#This Row],[Opomba]],Tabela_vhod[Skladišno mesto],"Sklad-3")</f>
        <v>0</v>
      </c>
      <c r="J62" s="21">
        <f>_xlfn.MAXIFS(Tabela_vhod[Datum sprejema],Tabela_vhod[Klas. št. ],Tabela4[[#This Row],[Klas. št. ]],Tabela_vhod[Opomba],Tabela4[[#This Row],[Opomba]])</f>
        <v>44114</v>
      </c>
      <c r="K62" s="21">
        <f>_xlfn.MAXIFS(Tabela_izhod[Datum izvoza],Tabela_izhod[Klas. št. ],Tabela4[[#This Row],[Klas. št. ]],Tabela_izhod[Opomba],Tabela4[[#This Row],[Opomba]])</f>
        <v>0</v>
      </c>
    </row>
    <row r="63" spans="1:11" s="2" customFormat="1" ht="30" customHeight="1" x14ac:dyDescent="0.25">
      <c r="A63" s="27" t="s">
        <v>13</v>
      </c>
      <c r="B63" s="30" t="str">
        <f>INDEX(Seznam_klasifikacij[Naziv],MATCH(Tabela4[[#This Row],[Klas. št. ]],Seznam_klasifikacij[Klasifikacija],0))</f>
        <v>Mulji, ki nastanejo pri fizikalno-kemijski obdelavi in vsebujejo nevarne snovi</v>
      </c>
      <c r="C63" s="89" t="s">
        <v>53</v>
      </c>
      <c r="D63" s="28">
        <f>SUMIFS(Tabela_vhod[Teža (kg)],Tabela_vhod[Klas. št. ],Tabela4[[#This Row],[Klas. št. ]],Tabela_vhod[Opomba],Tabela4[[#This Row],[Opomba]],Tabela_vhod[V skladišču],"DA")</f>
        <v>130</v>
      </c>
      <c r="E63" s="28">
        <f>COUNTIFS(Tabela_vhod[V skladišču],"DA",Tabela_vhod[Klas. št. ],Tabela4[[#This Row],[Klas. št. ]],Tabela_vhod[Opomba],Tabela4[[#This Row],[Opomba]])</f>
        <v>1</v>
      </c>
      <c r="F63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63" s="20">
        <f>COUNTIFS(Tabela_vhod[V skladišču],"DA",Tabela_vhod[Klas. št. ],Tabela4[[#This Row],[Klas. št. ]],Tabela_vhod[Opomba],Tabela4[[#This Row],[Opomba]],Tabela_vhod[Skladišno mesto],"Sklad-7")</f>
        <v>0</v>
      </c>
      <c r="H63" s="20">
        <f>SUMIFS(Tabela_vhod[Teža (kg)],Tabela_vhod[Klas. št. ],Tabela4[[#This Row],[Klas. št. ]],Tabela_vhod[Opomba],Tabela4[[#This Row],[Opomba]],Tabela_vhod[V skladišču],"DA",Tabela_vhod[Skladišno mesto],"Sklad-3")</f>
        <v>130</v>
      </c>
      <c r="I63" s="20">
        <f>COUNTIFS(Tabela_vhod[V skladišču],"DA",Tabela_vhod[Klas. št. ],Tabela4[[#This Row],[Klas. št. ]],Tabela_vhod[Opomba],Tabela4[[#This Row],[Opomba]],Tabela_vhod[Skladišno mesto],"Sklad-3")</f>
        <v>1</v>
      </c>
      <c r="J63" s="21">
        <f>_xlfn.MAXIFS(Tabela_vhod[Datum sprejema],Tabela_vhod[Klas. št. ],Tabela4[[#This Row],[Klas. št. ]],Tabela_vhod[Opomba],Tabela4[[#This Row],[Opomba]])</f>
        <v>44123</v>
      </c>
      <c r="K63" s="21">
        <f>_xlfn.MAXIFS(Tabela_izhod[Datum izvoza],Tabela_izhod[Klas. št. ],Tabela4[[#This Row],[Klas. št. ]],Tabela_izhod[Opomba],Tabela4[[#This Row],[Opomba]])</f>
        <v>44131</v>
      </c>
    </row>
    <row r="64" spans="1:11" s="2" customFormat="1" ht="30" customHeight="1" x14ac:dyDescent="0.25">
      <c r="A64" s="27" t="s">
        <v>185</v>
      </c>
      <c r="B64" s="28" t="str">
        <f>INDEX(Seznam_klasifikacij[Naziv],MATCH(Tabela4[[#This Row],[Klas. št. ]],Seznam_klasifikacij[Klasifikacija],0))</f>
        <v>Tekoči gorljivi odpadki, ki vsebujejo nevarne snovi</v>
      </c>
      <c r="C64" s="89" t="s">
        <v>53</v>
      </c>
      <c r="D64" s="28">
        <f>SUMIFS(Tabela_vhod[Teža (kg)],Tabela_vhod[Klas. št. ],Tabela4[[#This Row],[Klas. št. ]],Tabela_vhod[Opomba],Tabela4[[#This Row],[Opomba]],Tabela_vhod[V skladišču],"DA")</f>
        <v>0</v>
      </c>
      <c r="E64" s="28">
        <f>COUNTIFS(Tabela_vhod[V skladišču],"DA",Tabela_vhod[Klas. št. ],Tabela4[[#This Row],[Klas. št. ]],Tabela_vhod[Opomba],Tabela4[[#This Row],[Opomba]])</f>
        <v>0</v>
      </c>
      <c r="F64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64" s="20">
        <f>COUNTIFS(Tabela_vhod[V skladišču],"DA",Tabela_vhod[Klas. št. ],Tabela4[[#This Row],[Klas. št. ]],Tabela_vhod[Opomba],Tabela4[[#This Row],[Opomba]],Tabela_vhod[Skladišno mesto],"Sklad-7")</f>
        <v>0</v>
      </c>
      <c r="H64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64" s="20">
        <f>COUNTIFS(Tabela_vhod[V skladišču],"DA",Tabela_vhod[Klas. št. ],Tabela4[[#This Row],[Klas. št. ]],Tabela_vhod[Opomba],Tabela4[[#This Row],[Opomba]],Tabela_vhod[Skladišno mesto],"Sklad-3")</f>
        <v>0</v>
      </c>
      <c r="J64" s="21">
        <f>_xlfn.MAXIFS(Tabela_vhod[Datum sprejema],Tabela_vhod[Klas. št. ],Tabela4[[#This Row],[Klas. št. ]],Tabela_vhod[Opomba],Tabela4[[#This Row],[Opomba]])</f>
        <v>0</v>
      </c>
      <c r="K64" s="21">
        <f>_xlfn.MAXIFS(Tabela_izhod[Datum izvoza],Tabela_izhod[Klas. št. ],Tabela4[[#This Row],[Klas. št. ]],Tabela_izhod[Opomba],Tabela4[[#This Row],[Opomba]])</f>
        <v>0</v>
      </c>
    </row>
    <row r="65" spans="1:11" s="2" customFormat="1" ht="30" customHeight="1" x14ac:dyDescent="0.25">
      <c r="A65" s="27" t="s">
        <v>166</v>
      </c>
      <c r="B65" s="30" t="str">
        <f>INDEX(Seznam_klasifikacij[Naziv],MATCH(Tabela4[[#This Row],[Klas. št. ]],Seznam_klasifikacij[Klasifikacija],0))</f>
        <v>Utrjeni (soldificirani) odpadki, označeni kot nevarni</v>
      </c>
      <c r="C65" s="89" t="s">
        <v>53</v>
      </c>
      <c r="D65" s="28">
        <f>SUMIFS(Tabela_vhod[Teža (kg)],Tabela_vhod[Klas. št. ],Tabela4[[#This Row],[Klas. št. ]],Tabela_vhod[Opomba],Tabela4[[#This Row],[Opomba]],Tabela_vhod[V skladišču],"DA")</f>
        <v>0</v>
      </c>
      <c r="E65" s="28">
        <f>COUNTIFS(Tabela_vhod[V skladišču],"DA",Tabela_vhod[Klas. št. ],Tabela4[[#This Row],[Klas. št. ]],Tabela_vhod[Opomba],Tabela4[[#This Row],[Opomba]])</f>
        <v>0</v>
      </c>
      <c r="F65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65" s="20">
        <f>COUNTIFS(Tabela_vhod[V skladišču],"DA",Tabela_vhod[Klas. št. ],Tabela4[[#This Row],[Klas. št. ]],Tabela_vhod[Opomba],Tabela4[[#This Row],[Opomba]],Tabela_vhod[Skladišno mesto],"Sklad-7")</f>
        <v>0</v>
      </c>
      <c r="H65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65" s="20">
        <f>COUNTIFS(Tabela_vhod[V skladišču],"DA",Tabela_vhod[Klas. št. ],Tabela4[[#This Row],[Klas. št. ]],Tabela_vhod[Opomba],Tabela4[[#This Row],[Opomba]],Tabela_vhod[Skladišno mesto],"Sklad-3")</f>
        <v>0</v>
      </c>
      <c r="J65" s="21">
        <f>_xlfn.MAXIFS(Tabela_vhod[Datum sprejema],Tabela_vhod[Klas. št. ],Tabela4[[#This Row],[Klas. št. ]],Tabela_vhod[Opomba],Tabela4[[#This Row],[Opomba]])</f>
        <v>0</v>
      </c>
      <c r="K65" s="21">
        <f>_xlfn.MAXIFS(Tabela_izhod[Datum izvoza],Tabela_izhod[Klas. št. ],Tabela4[[#This Row],[Klas. št. ]],Tabela_izhod[Opomba],Tabela4[[#This Row],[Opomba]])</f>
        <v>0</v>
      </c>
    </row>
    <row r="66" spans="1:11" s="2" customFormat="1" ht="30" customHeight="1" x14ac:dyDescent="0.25">
      <c r="A66" s="27" t="s">
        <v>168</v>
      </c>
      <c r="B66" s="30" t="str">
        <f>INDEX(Seznam_klasifikacij[Naziv],MATCH(Tabela4[[#This Row],[Klas. št. ]],Seznam_klasifikacij[Klasifikacija],0))</f>
        <v>Odpadki iz peskolovov</v>
      </c>
      <c r="C66" s="89" t="s">
        <v>53</v>
      </c>
      <c r="D66" s="28">
        <f>SUMIFS(Tabela_vhod[Teža (kg)],Tabela_vhod[Klas. št. ],Tabela4[[#This Row],[Klas. št. ]],Tabela_vhod[Opomba],Tabela4[[#This Row],[Opomba]],Tabela_vhod[V skladišču],"DA")</f>
        <v>0</v>
      </c>
      <c r="E66" s="28">
        <f>COUNTIFS(Tabela_vhod[V skladišču],"DA",Tabela_vhod[Klas. št. ],Tabela4[[#This Row],[Klas. št. ]],Tabela_vhod[Opomba],Tabela4[[#This Row],[Opomba]])</f>
        <v>0</v>
      </c>
      <c r="F66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66" s="20">
        <f>COUNTIFS(Tabela_vhod[V skladišču],"DA",Tabela_vhod[Klas. št. ],Tabela4[[#This Row],[Klas. št. ]],Tabela_vhod[Opomba],Tabela4[[#This Row],[Opomba]],Tabela_vhod[Skladišno mesto],"Sklad-7")</f>
        <v>0</v>
      </c>
      <c r="H66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66" s="20">
        <f>COUNTIFS(Tabela_vhod[V skladišču],"DA",Tabela_vhod[Klas. št. ],Tabela4[[#This Row],[Klas. št. ]],Tabela_vhod[Opomba],Tabela4[[#This Row],[Opomba]],Tabela_vhod[Skladišno mesto],"Sklad-3")</f>
        <v>0</v>
      </c>
      <c r="J66" s="21">
        <f>_xlfn.MAXIFS(Tabela_vhod[Datum sprejema],Tabela_vhod[Klas. št. ],Tabela4[[#This Row],[Klas. št. ]],Tabela_vhod[Opomba],Tabela4[[#This Row],[Opomba]])</f>
        <v>44062</v>
      </c>
      <c r="K66" s="21">
        <f>_xlfn.MAXIFS(Tabela_izhod[Datum izvoza],Tabela_izhod[Klas. št. ],Tabela4[[#This Row],[Klas. št. ]],Tabela_izhod[Opomba],Tabela4[[#This Row],[Opomba]])</f>
        <v>44110</v>
      </c>
    </row>
    <row r="67" spans="1:11" s="2" customFormat="1" ht="30" customHeight="1" x14ac:dyDescent="0.25">
      <c r="A67" s="27" t="s">
        <v>171</v>
      </c>
      <c r="B67" s="30" t="str">
        <f>INDEX(Seznam_klasifikacij[Naziv],MATCH(Tabela4[[#This Row],[Klas. št. ]],Seznam_klasifikacij[Klasifikacija],0))</f>
        <v>Raztopine in mulji iz regeneracije ionskih izmenjevalnikov</v>
      </c>
      <c r="C67" s="89" t="s">
        <v>53</v>
      </c>
      <c r="D67" s="28">
        <f>SUMIFS(Tabela_vhod[Teža (kg)],Tabela_vhod[Klas. št. ],Tabela4[[#This Row],[Klas. št. ]],Tabela_vhod[Opomba],Tabela4[[#This Row],[Opomba]],Tabela_vhod[V skladišču],"DA")</f>
        <v>0</v>
      </c>
      <c r="E67" s="28">
        <f>COUNTIFS(Tabela_vhod[V skladišču],"DA",Tabela_vhod[Klas. št. ],Tabela4[[#This Row],[Klas. št. ]],Tabela_vhod[Opomba],Tabela4[[#This Row],[Opomba]])</f>
        <v>0</v>
      </c>
      <c r="F67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67" s="20">
        <f>COUNTIFS(Tabela_vhod[V skladišču],"DA",Tabela_vhod[Klas. št. ],Tabela4[[#This Row],[Klas. št. ]],Tabela_vhod[Opomba],Tabela4[[#This Row],[Opomba]],Tabela_vhod[Skladišno mesto],"Sklad-7")</f>
        <v>0</v>
      </c>
      <c r="H67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67" s="20">
        <f>COUNTIFS(Tabela_vhod[V skladišču],"DA",Tabela_vhod[Klas. št. ],Tabela4[[#This Row],[Klas. št. ]],Tabela_vhod[Opomba],Tabela4[[#This Row],[Opomba]],Tabela_vhod[Skladišno mesto],"Sklad-3")</f>
        <v>0</v>
      </c>
      <c r="J67" s="21">
        <f>_xlfn.MAXIFS(Tabela_vhod[Datum sprejema],Tabela_vhod[Klas. št. ],Tabela4[[#This Row],[Klas. št. ]],Tabela_vhod[Opomba],Tabela4[[#This Row],[Opomba]])</f>
        <v>0</v>
      </c>
      <c r="K67" s="21">
        <f>_xlfn.MAXIFS(Tabela_izhod[Datum izvoza],Tabela_izhod[Klas. št. ],Tabela4[[#This Row],[Klas. št. ]],Tabela_izhod[Opomba],Tabela4[[#This Row],[Opomba]])</f>
        <v>0</v>
      </c>
    </row>
    <row r="68" spans="1:11" s="2" customFormat="1" ht="30" customHeight="1" x14ac:dyDescent="0.25">
      <c r="A68" s="27" t="s">
        <v>173</v>
      </c>
      <c r="B68" s="30" t="str">
        <f>INDEX(Seznam_klasifikacij[Naziv],MATCH(Tabela4[[#This Row],[Klas. št. ]],Seznam_klasifikacij[Klasifikacija],0))</f>
        <v>Masti in oljne mešanice iz naprav za ločevanje olja in vode, ki vsebujejo le jedilna olja in masti</v>
      </c>
      <c r="C68" s="89" t="s">
        <v>53</v>
      </c>
      <c r="D68" s="28">
        <f>SUMIFS(Tabela_vhod[Teža (kg)],Tabela_vhod[Klas. št. ],Tabela4[[#This Row],[Klas. št. ]],Tabela_vhod[Opomba],Tabela4[[#This Row],[Opomba]],Tabela_vhod[V skladišču],"DA")</f>
        <v>0</v>
      </c>
      <c r="E68" s="28">
        <f>COUNTIFS(Tabela_vhod[V skladišču],"DA",Tabela_vhod[Klas. št. ],Tabela4[[#This Row],[Klas. št. ]],Tabela_vhod[Opomba],Tabela4[[#This Row],[Opomba]])</f>
        <v>0</v>
      </c>
      <c r="F68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68" s="20">
        <f>COUNTIFS(Tabela_vhod[V skladišču],"DA",Tabela_vhod[Klas. št. ],Tabela4[[#This Row],[Klas. št. ]],Tabela_vhod[Opomba],Tabela4[[#This Row],[Opomba]],Tabela_vhod[Skladišno mesto],"Sklad-7")</f>
        <v>0</v>
      </c>
      <c r="H68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68" s="20">
        <f>COUNTIFS(Tabela_vhod[V skladišču],"DA",Tabela_vhod[Klas. št. ],Tabela4[[#This Row],[Klas. št. ]],Tabela_vhod[Opomba],Tabela4[[#This Row],[Opomba]],Tabela_vhod[Skladišno mesto],"Sklad-3")</f>
        <v>0</v>
      </c>
      <c r="J68" s="21">
        <f>_xlfn.MAXIFS(Tabela_vhod[Datum sprejema],Tabela_vhod[Klas. št. ],Tabela4[[#This Row],[Klas. št. ]],Tabela_vhod[Opomba],Tabela4[[#This Row],[Opomba]])</f>
        <v>0</v>
      </c>
      <c r="K68" s="21">
        <f>_xlfn.MAXIFS(Tabela_izhod[Datum izvoza],Tabela_izhod[Klas. št. ],Tabela4[[#This Row],[Klas. št. ]],Tabela_izhod[Opomba],Tabela4[[#This Row],[Opomba]])</f>
        <v>0</v>
      </c>
    </row>
    <row r="69" spans="1:11" s="2" customFormat="1" ht="30" customHeight="1" x14ac:dyDescent="0.25">
      <c r="A69" s="27" t="s">
        <v>175</v>
      </c>
      <c r="B69" s="30" t="str">
        <f>INDEX(Seznam_klasifikacij[Naziv],MATCH(Tabela4[[#This Row],[Klas. št. ]],Seznam_klasifikacij[Klasifikacija],0))</f>
        <v>Mulji iz drugih čistilnih naprav tehnoloških odpadnih voda, ki vsebujejo nevarne snovi</v>
      </c>
      <c r="C69" s="89" t="s">
        <v>53</v>
      </c>
      <c r="D69" s="28">
        <f>SUMIFS(Tabela_vhod[Teža (kg)],Tabela_vhod[Klas. št. ],Tabela4[[#This Row],[Klas. št. ]],Tabela_vhod[Opomba],Tabela4[[#This Row],[Opomba]],Tabela_vhod[V skladišču],"DA")</f>
        <v>800</v>
      </c>
      <c r="E69" s="28">
        <f>COUNTIFS(Tabela_vhod[V skladišču],"DA",Tabela_vhod[Klas. št. ],Tabela4[[#This Row],[Klas. št. ]],Tabela_vhod[Opomba],Tabela4[[#This Row],[Opomba]])</f>
        <v>1</v>
      </c>
      <c r="F69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69" s="20">
        <f>COUNTIFS(Tabela_vhod[V skladišču],"DA",Tabela_vhod[Klas. št. ],Tabela4[[#This Row],[Klas. št. ]],Tabela_vhod[Opomba],Tabela4[[#This Row],[Opomba]],Tabela_vhod[Skladišno mesto],"Sklad-7")</f>
        <v>0</v>
      </c>
      <c r="H69" s="20">
        <f>SUMIFS(Tabela_vhod[Teža (kg)],Tabela_vhod[Klas. št. ],Tabela4[[#This Row],[Klas. št. ]],Tabela_vhod[Opomba],Tabela4[[#This Row],[Opomba]],Tabela_vhod[V skladišču],"DA",Tabela_vhod[Skladišno mesto],"Sklad-3")</f>
        <v>800</v>
      </c>
      <c r="I69" s="20">
        <f>COUNTIFS(Tabela_vhod[V skladišču],"DA",Tabela_vhod[Klas. št. ],Tabela4[[#This Row],[Klas. št. ]],Tabela_vhod[Opomba],Tabela4[[#This Row],[Opomba]],Tabela_vhod[Skladišno mesto],"Sklad-3")</f>
        <v>1</v>
      </c>
      <c r="J69" s="21">
        <f>_xlfn.MAXIFS(Tabela_vhod[Datum sprejema],Tabela_vhod[Klas. št. ],Tabela4[[#This Row],[Klas. št. ]],Tabela_vhod[Opomba],Tabela4[[#This Row],[Opomba]])</f>
        <v>44147</v>
      </c>
      <c r="K69" s="21">
        <f>_xlfn.MAXIFS(Tabela_izhod[Datum izvoza],Tabela_izhod[Klas. št. ],Tabela4[[#This Row],[Klas. št. ]],Tabela_izhod[Opomba],Tabela4[[#This Row],[Opomba]])</f>
        <v>0</v>
      </c>
    </row>
    <row r="70" spans="1:11" s="2" customFormat="1" ht="30" customHeight="1" x14ac:dyDescent="0.25">
      <c r="A70" s="27" t="s">
        <v>14</v>
      </c>
      <c r="B70" s="28" t="str">
        <f>INDEX(Seznam_klasifikacij[Naziv],MATCH(Tabela4[[#This Row],[Klas. št. ]],Seznam_klasifikacij[Klasifikacija],0))</f>
        <v xml:space="preserve">Mulji iz drugih čistilnih naprav tehnoloških odpadnih vod, ki niso zajeti v 10 08 13 </v>
      </c>
      <c r="C70" s="89" t="s">
        <v>53</v>
      </c>
      <c r="D70" s="28">
        <f>SUMIFS(Tabela_vhod[Teža (kg)],Tabela_vhod[Klas. št. ],Tabela4[[#This Row],[Klas. št. ]],Tabela_vhod[Opomba],Tabela4[[#This Row],[Opomba]],Tabela_vhod[V skladišču],"DA")</f>
        <v>839</v>
      </c>
      <c r="E70" s="28">
        <f>COUNTIFS(Tabela_vhod[V skladišču],"DA",Tabela_vhod[Klas. št. ],Tabela4[[#This Row],[Klas. št. ]],Tabela_vhod[Opomba],Tabela4[[#This Row],[Opomba]])</f>
        <v>1</v>
      </c>
      <c r="F70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70" s="20">
        <f>COUNTIFS(Tabela_vhod[V skladišču],"DA",Tabela_vhod[Klas. št. ],Tabela4[[#This Row],[Klas. št. ]],Tabela_vhod[Opomba],Tabela4[[#This Row],[Opomba]],Tabela_vhod[Skladišno mesto],"Sklad-7")</f>
        <v>0</v>
      </c>
      <c r="H70" s="20">
        <f>SUMIFS(Tabela_vhod[Teža (kg)],Tabela_vhod[Klas. št. ],Tabela4[[#This Row],[Klas. št. ]],Tabela_vhod[Opomba],Tabela4[[#This Row],[Opomba]],Tabela_vhod[V skladišču],"DA",Tabela_vhod[Skladišno mesto],"Sklad-3")</f>
        <v>839</v>
      </c>
      <c r="I70" s="20">
        <f>COUNTIFS(Tabela_vhod[V skladišču],"DA",Tabela_vhod[Klas. št. ],Tabela4[[#This Row],[Klas. št. ]],Tabela_vhod[Opomba],Tabela4[[#This Row],[Opomba]],Tabela_vhod[Skladišno mesto],"Sklad-3")</f>
        <v>1</v>
      </c>
      <c r="J70" s="21">
        <f>_xlfn.MAXIFS(Tabela_vhod[Datum sprejema],Tabela_vhod[Klas. št. ],Tabela4[[#This Row],[Klas. št. ]],Tabela_vhod[Opomba],Tabela4[[#This Row],[Opomba]])</f>
        <v>44133</v>
      </c>
      <c r="K70" s="21">
        <f>_xlfn.MAXIFS(Tabela_izhod[Datum izvoza],Tabela_izhod[Klas. št. ],Tabela4[[#This Row],[Klas. št. ]],Tabela_izhod[Opomba],Tabela4[[#This Row],[Opomba]])</f>
        <v>44110</v>
      </c>
    </row>
    <row r="71" spans="1:11" s="2" customFormat="1" ht="30" customHeight="1" x14ac:dyDescent="0.25">
      <c r="A71" s="27" t="s">
        <v>184</v>
      </c>
      <c r="B71" s="30" t="str">
        <f>INDEX(Seznam_klasifikacij[Naziv],MATCH(Tabela4[[#This Row],[Klas. št. ]],Seznam_klasifikacij[Klasifikacija],0))</f>
        <v>Nasičene ali izrabljene smole ionskih izmenjevalnikov</v>
      </c>
      <c r="C71" s="89" t="s">
        <v>53</v>
      </c>
      <c r="D71" s="28">
        <f>SUMIFS(Tabela_vhod[Teža (kg)],Tabela_vhod[Klas. št. ],Tabela4[[#This Row],[Klas. št. ]],Tabela_vhod[Opomba],Tabela4[[#This Row],[Opomba]],Tabela_vhod[V skladišču],"DA")</f>
        <v>0</v>
      </c>
      <c r="E71" s="28">
        <f>COUNTIFS(Tabela_vhod[V skladišču],"DA",Tabela_vhod[Klas. št. ],Tabela4[[#This Row],[Klas. št. ]],Tabela_vhod[Opomba],Tabela4[[#This Row],[Opomba]])</f>
        <v>0</v>
      </c>
      <c r="F71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71" s="20">
        <f>COUNTIFS(Tabela_vhod[V skladišču],"DA",Tabela_vhod[Klas. št. ],Tabela4[[#This Row],[Klas. št. ]],Tabela_vhod[Opomba],Tabela4[[#This Row],[Opomba]],Tabela_vhod[Skladišno mesto],"Sklad-7")</f>
        <v>0</v>
      </c>
      <c r="H71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71" s="20">
        <f>COUNTIFS(Tabela_vhod[V skladišču],"DA",Tabela_vhod[Klas. št. ],Tabela4[[#This Row],[Klas. št. ]],Tabela_vhod[Opomba],Tabela4[[#This Row],[Opomba]],Tabela_vhod[Skladišno mesto],"Sklad-3")</f>
        <v>0</v>
      </c>
      <c r="J71" s="21">
        <f>_xlfn.MAXIFS(Tabela_vhod[Datum sprejema],Tabela_vhod[Klas. št. ],Tabela4[[#This Row],[Klas. št. ]],Tabela_vhod[Opomba],Tabela4[[#This Row],[Opomba]])</f>
        <v>0</v>
      </c>
      <c r="K71" s="21">
        <f>_xlfn.MAXIFS(Tabela_izhod[Datum izvoza],Tabela_izhod[Klas. št. ],Tabela4[[#This Row],[Klas. št. ]],Tabela_izhod[Opomba],Tabela4[[#This Row],[Opomba]])</f>
        <v>0</v>
      </c>
    </row>
    <row r="72" spans="1:11" s="2" customFormat="1" ht="30" customHeight="1" x14ac:dyDescent="0.25">
      <c r="A72" s="27" t="s">
        <v>177</v>
      </c>
      <c r="B72" s="30" t="str">
        <f>INDEX(Seznam_klasifikacij[Naziv],MATCH(Tabela4[[#This Row],[Klas. št. ]],Seznam_klasifikacij[Klasifikacija],0))</f>
        <v>Železne kovine</v>
      </c>
      <c r="C72" s="89" t="s">
        <v>53</v>
      </c>
      <c r="D72" s="28">
        <f>SUMIFS(Tabela_vhod[Teža (kg)],Tabela_vhod[Klas. št. ],Tabela4[[#This Row],[Klas. št. ]],Tabela_vhod[Opomba],Tabela4[[#This Row],[Opomba]],Tabela_vhod[V skladišču],"DA")</f>
        <v>0</v>
      </c>
      <c r="E72" s="28">
        <f>COUNTIFS(Tabela_vhod[V skladišču],"DA",Tabela_vhod[Klas. št. ],Tabela4[[#This Row],[Klas. št. ]],Tabela_vhod[Opomba],Tabela4[[#This Row],[Opomba]])</f>
        <v>0</v>
      </c>
      <c r="F72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72" s="20">
        <f>COUNTIFS(Tabela_vhod[V skladišču],"DA",Tabela_vhod[Klas. št. ],Tabela4[[#This Row],[Klas. št. ]],Tabela_vhod[Opomba],Tabela4[[#This Row],[Opomba]],Tabela_vhod[Skladišno mesto],"Sklad-7")</f>
        <v>0</v>
      </c>
      <c r="H72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72" s="20">
        <f>COUNTIFS(Tabela_vhod[V skladišču],"DA",Tabela_vhod[Klas. št. ],Tabela4[[#This Row],[Klas. št. ]],Tabela_vhod[Opomba],Tabela4[[#This Row],[Opomba]],Tabela_vhod[Skladišno mesto],"Sklad-3")</f>
        <v>0</v>
      </c>
      <c r="J72" s="21">
        <f>_xlfn.MAXIFS(Tabela_vhod[Datum sprejema],Tabela_vhod[Klas. št. ],Tabela4[[#This Row],[Klas. št. ]],Tabela_vhod[Opomba],Tabela4[[#This Row],[Opomba]])</f>
        <v>0</v>
      </c>
      <c r="K72" s="21">
        <f>_xlfn.MAXIFS(Tabela_izhod[Datum izvoza],Tabela_izhod[Klas. št. ],Tabela4[[#This Row],[Klas. št. ]],Tabela_izhod[Opomba],Tabela4[[#This Row],[Opomba]])</f>
        <v>0</v>
      </c>
    </row>
    <row r="73" spans="1:11" s="2" customFormat="1" ht="30" customHeight="1" x14ac:dyDescent="0.25">
      <c r="A73" s="27" t="s">
        <v>1</v>
      </c>
      <c r="B73" s="28" t="str">
        <f>INDEX(Seznam_klasifikacij[Naziv],MATCH(Tabela4[[#This Row],[Klas. št. ]],Seznam_klasifikacij[Klasifikacija],0))</f>
        <v>Plastika in gume</v>
      </c>
      <c r="C73" s="89" t="s">
        <v>42</v>
      </c>
      <c r="D73" s="28">
        <f>SUMIFS(Tabela_vhod[Teža (kg)],Tabela_vhod[Klas. št. ],Tabela4[[#This Row],[Klas. št. ]],Tabela_vhod[Opomba],Tabela4[[#This Row],[Opomba]],Tabela_vhod[V skladišču],"DA")</f>
        <v>0</v>
      </c>
      <c r="E73" s="28">
        <f>COUNTIFS(Tabela_vhod[V skladišču],"DA",Tabela_vhod[Klas. št. ],Tabela4[[#This Row],[Klas. št. ]],Tabela_vhod[Opomba],Tabela4[[#This Row],[Opomba]])</f>
        <v>0</v>
      </c>
      <c r="F73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73" s="20">
        <f>COUNTIFS(Tabela_vhod[V skladišču],"DA",Tabela_vhod[Klas. št. ],Tabela4[[#This Row],[Klas. št. ]],Tabela_vhod[Opomba],Tabela4[[#This Row],[Opomba]],Tabela_vhod[Skladišno mesto],"Sklad-7")</f>
        <v>0</v>
      </c>
      <c r="H73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73" s="20">
        <f>COUNTIFS(Tabela_vhod[V skladišču],"DA",Tabela_vhod[Klas. št. ],Tabela4[[#This Row],[Klas. št. ]],Tabela_vhod[Opomba],Tabela4[[#This Row],[Opomba]],Tabela_vhod[Skladišno mesto],"Sklad-3")</f>
        <v>0</v>
      </c>
      <c r="J73" s="21">
        <f>_xlfn.MAXIFS(Tabela_vhod[Datum sprejema],Tabela_vhod[Klas. št. ],Tabela4[[#This Row],[Klas. št. ]],Tabela_vhod[Opomba],Tabela4[[#This Row],[Opomba]])</f>
        <v>0</v>
      </c>
      <c r="K73" s="21">
        <f>_xlfn.MAXIFS(Tabela_izhod[Datum izvoza],Tabela_izhod[Klas. št. ],Tabela4[[#This Row],[Klas. št. ]],Tabela_izhod[Opomba],Tabela4[[#This Row],[Opomba]])</f>
        <v>0</v>
      </c>
    </row>
    <row r="74" spans="1:11" s="2" customFormat="1" ht="30" customHeight="1" x14ac:dyDescent="0.25">
      <c r="A74" s="27" t="s">
        <v>1</v>
      </c>
      <c r="B74" s="28" t="str">
        <f>INDEX(Seznam_klasifikacij[Naziv],MATCH(Tabela4[[#This Row],[Klas. št. ]],Seznam_klasifikacij[Klasifikacija],0))</f>
        <v>Plastika in gume</v>
      </c>
      <c r="C74" s="89" t="s">
        <v>53</v>
      </c>
      <c r="D74" s="28">
        <f>SUMIFS(Tabela_vhod[Teža (kg)],Tabela_vhod[Klas. št. ],Tabela4[[#This Row],[Klas. št. ]],Tabela_vhod[Opomba],Tabela4[[#This Row],[Opomba]],Tabela_vhod[V skladišču],"DA")</f>
        <v>2542</v>
      </c>
      <c r="E74" s="28">
        <f>COUNTIFS(Tabela_vhod[V skladišču],"DA",Tabela_vhod[Klas. št. ],Tabela4[[#This Row],[Klas. št. ]],Tabela_vhod[Opomba],Tabela4[[#This Row],[Opomba]])</f>
        <v>11</v>
      </c>
      <c r="F74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74" s="20">
        <f>COUNTIFS(Tabela_vhod[V skladišču],"DA",Tabela_vhod[Klas. št. ],Tabela4[[#This Row],[Klas. št. ]],Tabela_vhod[Opomba],Tabela4[[#This Row],[Opomba]],Tabela_vhod[Skladišno mesto],"Sklad-7")</f>
        <v>0</v>
      </c>
      <c r="H74" s="20">
        <f>SUMIFS(Tabela_vhod[Teža (kg)],Tabela_vhod[Klas. št. ],Tabela4[[#This Row],[Klas. št. ]],Tabela_vhod[Opomba],Tabela4[[#This Row],[Opomba]],Tabela_vhod[V skladišču],"DA",Tabela_vhod[Skladišno mesto],"Sklad-3")</f>
        <v>2542</v>
      </c>
      <c r="I74" s="20">
        <f>COUNTIFS(Tabela_vhod[V skladišču],"DA",Tabela_vhod[Klas. št. ],Tabela4[[#This Row],[Klas. št. ]],Tabela_vhod[Opomba],Tabela4[[#This Row],[Opomba]],Tabela_vhod[Skladišno mesto],"Sklad-3")</f>
        <v>11</v>
      </c>
      <c r="J74" s="21">
        <f>_xlfn.MAXIFS(Tabela_vhod[Datum sprejema],Tabela_vhod[Klas. št. ],Tabela4[[#This Row],[Klas. št. ]],Tabela_vhod[Opomba],Tabela4[[#This Row],[Opomba]])</f>
        <v>44146</v>
      </c>
      <c r="K74" s="21">
        <f>_xlfn.MAXIFS(Tabela_izhod[Datum izvoza],Tabela_izhod[Klas. št. ],Tabela4[[#This Row],[Klas. št. ]],Tabela_izhod[Opomba],Tabela4[[#This Row],[Opomba]])</f>
        <v>44145</v>
      </c>
    </row>
    <row r="75" spans="1:11" s="2" customFormat="1" ht="30" customHeight="1" x14ac:dyDescent="0.25">
      <c r="A75" s="27" t="s">
        <v>179</v>
      </c>
      <c r="B75" s="30" t="str">
        <f>INDEX(Seznam_klasifikacij[Naziv],MATCH(Tabela4[[#This Row],[Klas. št. ]],Seznam_klasifikacij[Klasifikacija],0))</f>
        <v>Drugi odpadki (tudi mešanice materialov) iz mehanske obdelave odpadkov, ki vsebujejo nevarne snovi</v>
      </c>
      <c r="C75" s="89" t="s">
        <v>53</v>
      </c>
      <c r="D75" s="28">
        <f>SUMIFS(Tabela_vhod[Teža (kg)],Tabela_vhod[Klas. št. ],Tabela4[[#This Row],[Klas. št. ]],Tabela_vhod[Opomba],Tabela4[[#This Row],[Opomba]],Tabela_vhod[V skladišču],"DA")</f>
        <v>0</v>
      </c>
      <c r="E75" s="28">
        <f>COUNTIFS(Tabela_vhod[V skladišču],"DA",Tabela_vhod[Klas. št. ],Tabela4[[#This Row],[Klas. št. ]],Tabela_vhod[Opomba],Tabela4[[#This Row],[Opomba]])</f>
        <v>0</v>
      </c>
      <c r="F75" s="20">
        <f>SUMIFS(Tabela_vhod[Teža (kg)],Tabela_vhod[Klas. št. ],Tabela4[[#This Row],[Klas. št. ]],Tabela_vhod[Opomba],Tabela4[[#This Row],[Opomba]],Tabela_vhod[V skladišču],"DA",Tabela_vhod[Skladišno mesto],"Sklad-7")</f>
        <v>0</v>
      </c>
      <c r="G75" s="20">
        <f>COUNTIFS(Tabela_vhod[V skladišču],"DA",Tabela_vhod[Klas. št. ],Tabela4[[#This Row],[Klas. št. ]],Tabela_vhod[Opomba],Tabela4[[#This Row],[Opomba]],Tabela_vhod[Skladišno mesto],"Sklad-7")</f>
        <v>0</v>
      </c>
      <c r="H75" s="20">
        <f>SUMIFS(Tabela_vhod[Teža (kg)],Tabela_vhod[Klas. št. ],Tabela4[[#This Row],[Klas. št. ]],Tabela_vhod[Opomba],Tabela4[[#This Row],[Opomba]],Tabela_vhod[V skladišču],"DA",Tabela_vhod[Skladišno mesto],"Sklad-3")</f>
        <v>0</v>
      </c>
      <c r="I75" s="20">
        <f>COUNTIFS(Tabela_vhod[V skladišču],"DA",Tabela_vhod[Klas. št. ],Tabela4[[#This Row],[Klas. št. ]],Tabela_vhod[Opomba],Tabela4[[#This Row],[Opomba]],Tabela_vhod[Skladišno mesto],"Sklad-3")</f>
        <v>0</v>
      </c>
      <c r="J75" s="21">
        <f>_xlfn.MAXIFS(Tabela_vhod[Datum sprejema],Tabela_vhod[Klas. št. ],Tabela4[[#This Row],[Klas. št. ]],Tabela_vhod[Opomba],Tabela4[[#This Row],[Opomba]])</f>
        <v>0</v>
      </c>
      <c r="K75" s="21">
        <f>_xlfn.MAXIFS(Tabela_izhod[Datum izvoza],Tabela_izhod[Klas. št. ],Tabela4[[#This Row],[Klas. št. ]],Tabela_izhod[Opomba],Tabela4[[#This Row],[Opomba]])</f>
        <v>0</v>
      </c>
    </row>
    <row r="76" spans="1:11" s="2" customFormat="1" ht="30" customHeight="1" x14ac:dyDescent="0.25">
      <c r="A76" s="31" t="s">
        <v>50</v>
      </c>
      <c r="B76" s="32" t="str">
        <f>INDEX(Seznam_klasifikacij[Naziv],MATCH(Tabela4[[#This Row],[Klas. št. ]],Seznam_klasifikacij[Klasifikacija],0))</f>
        <v xml:space="preserve">Baterije in akumulatorji, ki so navedeni pod 16 06 01, 16 06 02 ali 16 06 03 ter nesortirane baterije in akumulatorji, ki vsebujejo te baterije in akumulatorje </v>
      </c>
      <c r="C76" s="92" t="s">
        <v>53</v>
      </c>
      <c r="D76" s="33">
        <f>SUMIFS(Tabela_vhod[Teža (kg)],Tabela_vhod[Klas. št. ],Tabela4[[#This Row],[Klas. št. ]],Tabela_vhod[Opomba],Tabela4[[#This Row],[Opomba]],Tabela_vhod[V skladišču],"DA")</f>
        <v>0</v>
      </c>
      <c r="E76" s="33">
        <f>COUNTIFS(Tabela_vhod[V skladišču],"DA",Tabela_vhod[Klas. št. ],Tabela4[[#This Row],[Klas. št. ]],Tabela_vhod[Opomba],Tabela4[[#This Row],[Opomba]])</f>
        <v>0</v>
      </c>
      <c r="F76" s="25">
        <f>SUMIFS(Tabela_vhod[Teža (kg)],Tabela_vhod[Klas. št. ],Tabela4[[#This Row],[Klas. št. ]],Tabela_vhod[Opomba],Tabela4[[#This Row],[Opomba]],Tabela_vhod[V skladišču],"DA",Tabela_vhod[Skladišno mesto],"Sklad-7")</f>
        <v>0</v>
      </c>
      <c r="G76" s="25">
        <f>COUNTIFS(Tabela_vhod[V skladišču],"DA",Tabela_vhod[Klas. št. ],Tabela4[[#This Row],[Klas. št. ]],Tabela_vhod[Opomba],Tabela4[[#This Row],[Opomba]],Tabela_vhod[Skladišno mesto],"Sklad-7")</f>
        <v>0</v>
      </c>
      <c r="H76" s="25">
        <f>SUMIFS(Tabela_vhod[Teža (kg)],Tabela_vhod[Klas. št. ],Tabela4[[#This Row],[Klas. št. ]],Tabela_vhod[Opomba],Tabela4[[#This Row],[Opomba]],Tabela_vhod[V skladišču],"DA",Tabela_vhod[Skladišno mesto],"Sklad-3")</f>
        <v>0</v>
      </c>
      <c r="I76" s="25">
        <f>COUNTIFS(Tabela_vhod[V skladišču],"DA",Tabela_vhod[Klas. št. ],Tabela4[[#This Row],[Klas. št. ]],Tabela_vhod[Opomba],Tabela4[[#This Row],[Opomba]],Tabela_vhod[Skladišno mesto],"Sklad-3")</f>
        <v>0</v>
      </c>
      <c r="J76" s="16">
        <f>_xlfn.MAXIFS(Tabela_vhod[Datum sprejema],Tabela_vhod[Klas. št. ],Tabela4[[#This Row],[Klas. št. ]],Tabela_vhod[Opomba],Tabela4[[#This Row],[Opomba]])</f>
        <v>44140</v>
      </c>
      <c r="K76" s="34">
        <f>_xlfn.MAXIFS(Tabela_izhod[Datum izvoza],Tabela_izhod[Klas. št. ],Tabela4[[#This Row],[Klas. št. ]],Tabela_izhod[Opomba],Tabela4[[#This Row],[Opomba]])</f>
        <v>44141</v>
      </c>
    </row>
    <row r="77" spans="1:11" s="2" customFormat="1" ht="30" customHeight="1" x14ac:dyDescent="0.25">
      <c r="A77" s="31" t="s">
        <v>72</v>
      </c>
      <c r="B77" s="32" t="str">
        <f>INDEX(Seznam_klasifikacij[Naziv],MATCH(Tabela4[[#This Row],[Klas. št. ]],Seznam_klasifikacij[Klasifikacija],0))</f>
        <v>Drugi tovrstni odpadki</v>
      </c>
      <c r="C77" s="92" t="s">
        <v>77</v>
      </c>
      <c r="D77" s="33">
        <f>SUMIFS(Tabela_vhod[Teža (kg)],Tabela_vhod[Klas. št. ],Tabela4[[#This Row],[Klas. št. ]],Tabela_vhod[Opomba],Tabela4[[#This Row],[Opomba]],Tabela_vhod[V skladišču],"DA")</f>
        <v>0</v>
      </c>
      <c r="E77" s="33">
        <f>COUNTIFS(Tabela_vhod[V skladišču],"DA",Tabela_vhod[Klas. št. ],Tabela4[[#This Row],[Klas. št. ]],Tabela_vhod[Opomba],Tabela4[[#This Row],[Opomba]])</f>
        <v>0</v>
      </c>
      <c r="F77" s="25">
        <f>SUMIFS(Tabela_vhod[Teža (kg)],Tabela_vhod[Klas. št. ],Tabela4[[#This Row],[Klas. št. ]],Tabela_vhod[Opomba],Tabela4[[#This Row],[Opomba]],Tabela_vhod[V skladišču],"DA",Tabela_vhod[Skladišno mesto],"Sklad-7")</f>
        <v>0</v>
      </c>
      <c r="G77" s="25">
        <f>COUNTIFS(Tabela_vhod[V skladišču],"DA",Tabela_vhod[Klas. št. ],Tabela4[[#This Row],[Klas. št. ]],Tabela_vhod[Opomba],Tabela4[[#This Row],[Opomba]],Tabela_vhod[Skladišno mesto],"Sklad-7")</f>
        <v>0</v>
      </c>
      <c r="H77" s="25">
        <f>SUMIFS(Tabela_vhod[Teža (kg)],Tabela_vhod[Klas. št. ],Tabela4[[#This Row],[Klas. št. ]],Tabela_vhod[Opomba],Tabela4[[#This Row],[Opomba]],Tabela_vhod[V skladišču],"DA",Tabela_vhod[Skladišno mesto],"Sklad-3")</f>
        <v>0</v>
      </c>
      <c r="I77" s="25">
        <f>COUNTIFS(Tabela_vhod[V skladišču],"DA",Tabela_vhod[Klas. št. ],Tabela4[[#This Row],[Klas. št. ]],Tabela_vhod[Opomba],Tabela4[[#This Row],[Opomba]],Tabela_vhod[Skladišno mesto],"Sklad-3")</f>
        <v>0</v>
      </c>
      <c r="J77" s="16">
        <f>_xlfn.MAXIFS(Tabela_vhod[Datum sprejema],Tabela_vhod[Klas. št. ],Tabela4[[#This Row],[Klas. št. ]],Tabela_vhod[Opomba],Tabela4[[#This Row],[Opomba]])</f>
        <v>44047</v>
      </c>
      <c r="K77" s="34">
        <f>_xlfn.MAXIFS(Tabela_izhod[Datum izvoza],Tabela_izhod[Klas. št. ],Tabela4[[#This Row],[Klas. št. ]],Tabela_izhod[Opomba],Tabela4[[#This Row],[Opomba]])</f>
        <v>44068</v>
      </c>
    </row>
    <row r="78" spans="1:11" s="2" customFormat="1" ht="30" customHeight="1" x14ac:dyDescent="0.25">
      <c r="A78" s="33" t="s">
        <v>78</v>
      </c>
      <c r="B78" s="33"/>
      <c r="C78" s="33"/>
      <c r="D78" s="33">
        <f>SUBTOTAL(109,Tabela4[Zaloga skupaj '[kg']])</f>
        <v>30525</v>
      </c>
      <c r="E78" s="33">
        <f>SUBTOTAL(109,Tabela4[Skupaj paletnih mest])</f>
        <v>82</v>
      </c>
      <c r="F78" s="33">
        <f>SUBTOTAL(109,Tabela4[Zaloga neto '[sklad-7'] (kg)  ])</f>
        <v>13640</v>
      </c>
      <c r="G78" s="33">
        <f>SUBTOTAL(109,Tabela4[Paletna mesta '[sklad-7']])</f>
        <v>27</v>
      </c>
      <c r="H78" s="25">
        <f>SUBTOTAL(109,Tabela4[Zaloga neto '[sklad-3'] (kg)])</f>
        <v>16885</v>
      </c>
      <c r="I78" s="25">
        <f>SUBTOTAL(109,Tabela4[Paletna mesta '[sklad-3']])</f>
        <v>55</v>
      </c>
      <c r="J78" s="16">
        <f>SUBTOTAL(104,Tabela4[Datum zadnjga sprejema])</f>
        <v>44151</v>
      </c>
      <c r="K78" s="38">
        <f>SUBTOTAL(104,Tabela4[Datum zadnjga izvoza])</f>
        <v>44145</v>
      </c>
    </row>
    <row r="79" spans="1:11" s="2" customFormat="1" ht="30" customHeight="1" x14ac:dyDescent="0.25"/>
    <row r="80" spans="1:11" s="2" customFormat="1" ht="30" customHeight="1" x14ac:dyDescent="0.25"/>
    <row r="81" spans="1:7" s="2" customFormat="1" ht="30" customHeight="1" x14ac:dyDescent="0.25"/>
    <row r="82" spans="1:7" s="2" customFormat="1" ht="30" customHeight="1" x14ac:dyDescent="0.25">
      <c r="A82" s="13"/>
      <c r="B82" s="14"/>
      <c r="C82" s="14"/>
      <c r="D82" s="15"/>
      <c r="E82" s="15"/>
      <c r="F82" s="16"/>
      <c r="G82" s="16"/>
    </row>
    <row r="83" spans="1:7" s="2" customFormat="1" ht="30" customHeight="1" x14ac:dyDescent="0.25">
      <c r="B83" s="3"/>
      <c r="C83" s="3"/>
      <c r="D83" s="4"/>
      <c r="E83" s="4"/>
      <c r="F83" s="7"/>
      <c r="G83" s="7"/>
    </row>
    <row r="84" spans="1:7" s="2" customFormat="1" ht="30" customHeight="1" x14ac:dyDescent="0.25">
      <c r="B84" s="3"/>
      <c r="C84" s="3"/>
      <c r="D84" s="4"/>
      <c r="E84" s="4"/>
      <c r="F84" s="7"/>
      <c r="G84" s="7"/>
    </row>
    <row r="85" spans="1:7" s="2" customFormat="1" ht="30" customHeight="1" x14ac:dyDescent="0.25">
      <c r="B85" s="3"/>
      <c r="C85" s="3"/>
      <c r="D85" s="4"/>
      <c r="E85" s="4"/>
      <c r="F85" s="7"/>
      <c r="G85" s="7"/>
    </row>
    <row r="86" spans="1:7" s="2" customFormat="1" ht="30" customHeight="1" x14ac:dyDescent="0.25">
      <c r="B86" s="3"/>
      <c r="C86" s="3"/>
      <c r="D86" s="4"/>
      <c r="E86" s="4"/>
      <c r="F86" s="7"/>
      <c r="G86" s="7"/>
    </row>
    <row r="87" spans="1:7" s="2" customFormat="1" ht="30" customHeight="1" x14ac:dyDescent="0.25">
      <c r="B87" s="3"/>
      <c r="C87" s="3"/>
      <c r="D87" s="4"/>
      <c r="E87" s="4"/>
      <c r="F87" s="7"/>
      <c r="G87" s="7"/>
    </row>
    <row r="88" spans="1:7" s="2" customFormat="1" ht="30" customHeight="1" x14ac:dyDescent="0.25">
      <c r="B88" s="3"/>
      <c r="C88" s="3"/>
      <c r="D88" s="4"/>
      <c r="E88" s="4"/>
      <c r="F88" s="7"/>
      <c r="G88" s="7"/>
    </row>
    <row r="89" spans="1:7" s="2" customFormat="1" ht="30" customHeight="1" x14ac:dyDescent="0.25">
      <c r="B89" s="3"/>
      <c r="C89" s="3"/>
      <c r="D89" s="4"/>
      <c r="E89" s="4"/>
      <c r="F89" s="7"/>
      <c r="G89" s="7"/>
    </row>
    <row r="90" spans="1:7" s="2" customFormat="1" ht="30" customHeight="1" x14ac:dyDescent="0.25">
      <c r="B90" s="3"/>
      <c r="C90" s="3"/>
      <c r="D90" s="4"/>
      <c r="E90" s="4"/>
      <c r="F90" s="7"/>
      <c r="G90" s="7"/>
    </row>
    <row r="91" spans="1:7" s="2" customFormat="1" ht="30" customHeight="1" x14ac:dyDescent="0.25">
      <c r="B91" s="3"/>
      <c r="C91" s="3"/>
      <c r="D91" s="4"/>
      <c r="E91" s="4"/>
      <c r="F91" s="7"/>
      <c r="G91" s="7"/>
    </row>
    <row r="92" spans="1:7" s="2" customFormat="1" ht="30" customHeight="1" x14ac:dyDescent="0.25">
      <c r="B92" s="3"/>
      <c r="C92" s="3"/>
      <c r="D92" s="4"/>
      <c r="E92" s="4"/>
      <c r="F92" s="7"/>
      <c r="G92" s="7"/>
    </row>
    <row r="93" spans="1:7" s="2" customFormat="1" ht="30" customHeight="1" x14ac:dyDescent="0.25">
      <c r="B93" s="3"/>
      <c r="C93" s="3"/>
      <c r="D93" s="4"/>
      <c r="E93" s="4"/>
      <c r="F93" s="7"/>
      <c r="G93" s="7"/>
    </row>
    <row r="94" spans="1:7" s="2" customFormat="1" ht="30" customHeight="1" x14ac:dyDescent="0.25">
      <c r="B94" s="3"/>
      <c r="C94" s="3"/>
      <c r="D94" s="4"/>
      <c r="E94" s="4"/>
      <c r="F94" s="7"/>
      <c r="G94" s="7"/>
    </row>
    <row r="95" spans="1:7" s="2" customFormat="1" ht="30" customHeight="1" x14ac:dyDescent="0.25">
      <c r="B95" s="3"/>
      <c r="C95" s="3"/>
      <c r="D95" s="4"/>
      <c r="E95" s="4"/>
      <c r="F95" s="7"/>
      <c r="G95" s="7"/>
    </row>
    <row r="96" spans="1:7" s="2" customFormat="1" ht="30" customHeight="1" x14ac:dyDescent="0.25">
      <c r="B96" s="3"/>
      <c r="C96" s="3"/>
      <c r="D96" s="4"/>
      <c r="E96" s="4"/>
      <c r="F96" s="7"/>
      <c r="G96" s="7"/>
    </row>
    <row r="97" spans="2:7" s="2" customFormat="1" ht="30" customHeight="1" x14ac:dyDescent="0.25">
      <c r="B97" s="3"/>
      <c r="C97" s="3"/>
      <c r="D97" s="4"/>
      <c r="E97" s="4"/>
      <c r="F97" s="7"/>
      <c r="G97" s="7"/>
    </row>
    <row r="98" spans="2:7" s="2" customFormat="1" ht="30" customHeight="1" x14ac:dyDescent="0.25">
      <c r="B98" s="3"/>
      <c r="C98" s="3"/>
      <c r="D98" s="4"/>
      <c r="E98" s="4"/>
      <c r="F98" s="7"/>
      <c r="G98" s="7"/>
    </row>
    <row r="99" spans="2:7" s="2" customFormat="1" ht="30" customHeight="1" x14ac:dyDescent="0.25">
      <c r="B99" s="3"/>
      <c r="C99" s="3"/>
      <c r="D99" s="4"/>
      <c r="E99" s="4"/>
      <c r="F99" s="7"/>
      <c r="G99" s="7"/>
    </row>
    <row r="100" spans="2:7" s="2" customFormat="1" ht="30" customHeight="1" x14ac:dyDescent="0.25">
      <c r="B100" s="3"/>
      <c r="C100" s="3"/>
      <c r="D100" s="4"/>
      <c r="E100" s="4"/>
      <c r="F100" s="7"/>
      <c r="G100" s="7"/>
    </row>
    <row r="101" spans="2:7" s="2" customFormat="1" ht="30" customHeight="1" x14ac:dyDescent="0.25">
      <c r="B101" s="3"/>
      <c r="C101" s="3"/>
      <c r="D101" s="4"/>
      <c r="E101" s="4"/>
      <c r="F101" s="7"/>
      <c r="G101" s="7"/>
    </row>
    <row r="102" spans="2:7" s="2" customFormat="1" ht="30" customHeight="1" x14ac:dyDescent="0.25">
      <c r="B102" s="3"/>
      <c r="C102" s="3"/>
      <c r="D102" s="4"/>
      <c r="E102" s="4"/>
      <c r="F102" s="7"/>
      <c r="G102" s="7"/>
    </row>
    <row r="103" spans="2:7" s="2" customFormat="1" ht="30" customHeight="1" x14ac:dyDescent="0.25">
      <c r="B103" s="3"/>
      <c r="C103" s="3"/>
      <c r="D103" s="4"/>
      <c r="E103" s="4"/>
      <c r="F103" s="7"/>
      <c r="G103" s="7"/>
    </row>
    <row r="104" spans="2:7" s="2" customFormat="1" ht="30" customHeight="1" x14ac:dyDescent="0.25">
      <c r="B104" s="3"/>
      <c r="C104" s="3"/>
      <c r="D104" s="4"/>
      <c r="E104" s="4"/>
      <c r="F104" s="7"/>
      <c r="G104" s="7"/>
    </row>
    <row r="105" spans="2:7" s="2" customFormat="1" ht="30" customHeight="1" x14ac:dyDescent="0.25">
      <c r="B105" s="3"/>
      <c r="C105" s="3"/>
      <c r="D105" s="4"/>
      <c r="E105" s="4"/>
      <c r="F105" s="7"/>
      <c r="G105" s="7"/>
    </row>
    <row r="106" spans="2:7" s="2" customFormat="1" ht="30" customHeight="1" x14ac:dyDescent="0.25">
      <c r="B106" s="3"/>
      <c r="C106" s="3"/>
      <c r="D106" s="4"/>
      <c r="E106" s="4"/>
      <c r="F106" s="7"/>
      <c r="G106" s="7"/>
    </row>
    <row r="107" spans="2:7" s="2" customFormat="1" ht="30" customHeight="1" x14ac:dyDescent="0.25">
      <c r="B107" s="3"/>
      <c r="C107" s="3"/>
      <c r="D107" s="4"/>
      <c r="E107" s="4"/>
      <c r="F107" s="7"/>
      <c r="G107" s="7"/>
    </row>
    <row r="108" spans="2:7" s="2" customFormat="1" ht="30" customHeight="1" x14ac:dyDescent="0.25">
      <c r="B108" s="3"/>
      <c r="C108" s="3"/>
      <c r="D108" s="4"/>
      <c r="E108" s="4"/>
      <c r="F108" s="7"/>
      <c r="G108" s="7"/>
    </row>
    <row r="109" spans="2:7" s="2" customFormat="1" ht="30" customHeight="1" x14ac:dyDescent="0.25">
      <c r="B109" s="3"/>
      <c r="C109" s="3"/>
      <c r="D109" s="4"/>
      <c r="E109" s="4"/>
      <c r="F109" s="7"/>
      <c r="G109" s="7"/>
    </row>
    <row r="110" spans="2:7" s="2" customFormat="1" ht="30" customHeight="1" x14ac:dyDescent="0.25">
      <c r="B110" s="3"/>
      <c r="C110" s="3"/>
      <c r="D110" s="4"/>
      <c r="E110" s="4"/>
      <c r="F110" s="7"/>
      <c r="G110" s="7"/>
    </row>
    <row r="111" spans="2:7" s="2" customFormat="1" ht="30" customHeight="1" x14ac:dyDescent="0.25">
      <c r="B111" s="3"/>
      <c r="C111" s="3"/>
      <c r="D111" s="4"/>
      <c r="E111" s="4"/>
      <c r="F111" s="7"/>
      <c r="G111" s="7"/>
    </row>
    <row r="112" spans="2:7" s="2" customFormat="1" ht="30" customHeight="1" x14ac:dyDescent="0.25">
      <c r="B112" s="3"/>
      <c r="C112" s="3"/>
      <c r="D112" s="4"/>
      <c r="E112" s="4"/>
      <c r="F112" s="7"/>
      <c r="G112" s="7"/>
    </row>
    <row r="113" spans="1:11" s="2" customFormat="1" ht="30" customHeight="1" x14ac:dyDescent="0.25">
      <c r="B113" s="3"/>
      <c r="C113" s="3"/>
      <c r="D113" s="4"/>
      <c r="E113" s="4"/>
      <c r="F113" s="7"/>
      <c r="G113" s="7"/>
    </row>
    <row r="114" spans="1:11" s="2" customFormat="1" ht="30" customHeight="1" x14ac:dyDescent="0.25">
      <c r="B114" s="3"/>
      <c r="C114" s="3"/>
      <c r="D114" s="4"/>
      <c r="E114" s="4"/>
      <c r="F114" s="7"/>
      <c r="G114" s="7"/>
    </row>
    <row r="115" spans="1:11" s="2" customFormat="1" ht="30" customHeight="1" x14ac:dyDescent="0.25">
      <c r="B115" s="3"/>
      <c r="C115" s="3"/>
      <c r="D115" s="4"/>
      <c r="E115" s="4"/>
      <c r="F115" s="7"/>
      <c r="G115" s="7"/>
    </row>
    <row r="116" spans="1:11" s="2" customFormat="1" ht="30" customHeight="1" x14ac:dyDescent="0.25">
      <c r="B116" s="3"/>
      <c r="C116" s="3"/>
      <c r="D116" s="4"/>
      <c r="E116" s="4"/>
      <c r="F116" s="7"/>
      <c r="G116" s="7"/>
    </row>
    <row r="117" spans="1:11" x14ac:dyDescent="0.25">
      <c r="A117" s="2"/>
      <c r="B117" s="3"/>
      <c r="C117" s="3"/>
      <c r="F117" s="7"/>
      <c r="G117" s="7"/>
      <c r="H117" s="2"/>
      <c r="I117" s="2"/>
      <c r="J117" s="2"/>
      <c r="K117" s="2"/>
    </row>
    <row r="118" spans="1:11" x14ac:dyDescent="0.25">
      <c r="A118" s="2"/>
      <c r="B118" s="3"/>
      <c r="C118" s="3"/>
      <c r="F118" s="7"/>
      <c r="G118" s="7"/>
      <c r="H118" s="2"/>
      <c r="I118" s="2"/>
      <c r="J118" s="2"/>
      <c r="K118" s="2"/>
    </row>
    <row r="119" spans="1:11" x14ac:dyDescent="0.25">
      <c r="A119" s="2"/>
      <c r="B119" s="3"/>
      <c r="C119" s="3"/>
      <c r="F119" s="7"/>
      <c r="G119" s="7"/>
    </row>
    <row r="120" spans="1:11" x14ac:dyDescent="0.25">
      <c r="A120" s="2"/>
      <c r="B120" s="3"/>
      <c r="C120" s="3"/>
      <c r="F120" s="7"/>
      <c r="G120" s="7"/>
    </row>
    <row r="121" spans="1:11" x14ac:dyDescent="0.25">
      <c r="A121" s="2"/>
      <c r="B121" s="3"/>
      <c r="C121" s="3"/>
      <c r="F121" s="7"/>
      <c r="G121" s="7"/>
    </row>
    <row r="122" spans="1:11" x14ac:dyDescent="0.25">
      <c r="A122" s="2"/>
      <c r="B122" s="3"/>
      <c r="C122" s="3"/>
      <c r="F122" s="7"/>
      <c r="G122" s="7"/>
    </row>
    <row r="123" spans="1:11" x14ac:dyDescent="0.25">
      <c r="A123" s="2"/>
      <c r="B123" s="3"/>
      <c r="C123" s="3"/>
      <c r="F123" s="7"/>
      <c r="G123" s="7"/>
    </row>
    <row r="124" spans="1:11" x14ac:dyDescent="0.25">
      <c r="A124" s="2"/>
      <c r="B124" s="3"/>
      <c r="C124" s="3"/>
      <c r="F124" s="7"/>
      <c r="G124" s="7"/>
    </row>
    <row r="125" spans="1:11" x14ac:dyDescent="0.25">
      <c r="A125" s="2"/>
      <c r="B125" s="3"/>
      <c r="C125" s="3"/>
      <c r="F125" s="7"/>
      <c r="G125" s="7"/>
    </row>
    <row r="126" spans="1:11" x14ac:dyDescent="0.25">
      <c r="A126" s="2"/>
      <c r="B126" s="3"/>
      <c r="C126" s="3"/>
      <c r="F126" s="7"/>
      <c r="G126" s="7"/>
    </row>
    <row r="127" spans="1:11" x14ac:dyDescent="0.25">
      <c r="A127" s="2"/>
      <c r="B127" s="3"/>
      <c r="C127" s="3"/>
      <c r="F127" s="7"/>
      <c r="G127" s="7"/>
    </row>
    <row r="128" spans="1:11" x14ac:dyDescent="0.25">
      <c r="A128" s="2"/>
      <c r="B128" s="3"/>
      <c r="C128" s="3"/>
      <c r="F128" s="7"/>
      <c r="G128" s="7"/>
    </row>
    <row r="129" spans="1:7" x14ac:dyDescent="0.25">
      <c r="A129" s="2"/>
      <c r="B129" s="3"/>
      <c r="C129" s="3"/>
      <c r="F129" s="7"/>
      <c r="G129" s="7"/>
    </row>
    <row r="130" spans="1:7" x14ac:dyDescent="0.25">
      <c r="A130" s="2"/>
      <c r="B130" s="3"/>
      <c r="C130" s="3"/>
      <c r="F130" s="7"/>
      <c r="G130" s="7"/>
    </row>
    <row r="131" spans="1:7" x14ac:dyDescent="0.25">
      <c r="A131" s="2"/>
      <c r="B131" s="3"/>
      <c r="C131" s="3"/>
      <c r="F131" s="7"/>
      <c r="G131" s="7"/>
    </row>
    <row r="132" spans="1:7" x14ac:dyDescent="0.25">
      <c r="A132" s="2"/>
      <c r="B132" s="3"/>
      <c r="C132" s="3"/>
      <c r="F132" s="7"/>
      <c r="G132" s="7"/>
    </row>
    <row r="133" spans="1:7" x14ac:dyDescent="0.25">
      <c r="A133" s="2"/>
      <c r="B133" s="3"/>
      <c r="C133" s="3"/>
      <c r="F133" s="7"/>
      <c r="G133" s="7"/>
    </row>
    <row r="134" spans="1:7" x14ac:dyDescent="0.25">
      <c r="A134" s="2"/>
      <c r="B134" s="3"/>
      <c r="C134" s="3"/>
      <c r="F134" s="7"/>
      <c r="G134" s="7"/>
    </row>
    <row r="135" spans="1:7" x14ac:dyDescent="0.25">
      <c r="A135" s="2"/>
      <c r="B135" s="3"/>
      <c r="C135" s="3"/>
      <c r="F135" s="7"/>
      <c r="G135" s="7"/>
    </row>
    <row r="136" spans="1:7" x14ac:dyDescent="0.25">
      <c r="A136" s="2"/>
      <c r="B136" s="3"/>
      <c r="C136" s="3"/>
      <c r="F136" s="7"/>
      <c r="G136" s="7"/>
    </row>
    <row r="137" spans="1:7" x14ac:dyDescent="0.25">
      <c r="A137" s="2"/>
      <c r="B137" s="3"/>
      <c r="C137" s="3"/>
      <c r="F137" s="7"/>
      <c r="G137" s="7"/>
    </row>
    <row r="138" spans="1:7" x14ac:dyDescent="0.25">
      <c r="A138" s="2"/>
      <c r="B138" s="3"/>
      <c r="C138" s="3"/>
      <c r="F138" s="7"/>
      <c r="G138" s="7"/>
    </row>
    <row r="139" spans="1:7" x14ac:dyDescent="0.25">
      <c r="A139" s="2"/>
      <c r="B139" s="3"/>
      <c r="C139" s="3"/>
      <c r="F139" s="7"/>
      <c r="G139" s="7"/>
    </row>
    <row r="140" spans="1:7" x14ac:dyDescent="0.25">
      <c r="A140" s="2"/>
      <c r="B140" s="3"/>
      <c r="C140" s="3"/>
      <c r="F140" s="7"/>
      <c r="G140" s="7"/>
    </row>
    <row r="141" spans="1:7" x14ac:dyDescent="0.25">
      <c r="A141" s="2"/>
      <c r="B141" s="3"/>
      <c r="C141" s="3"/>
      <c r="F141" s="7"/>
      <c r="G141" s="7"/>
    </row>
    <row r="142" spans="1:7" x14ac:dyDescent="0.25">
      <c r="A142" s="2"/>
      <c r="B142" s="3"/>
      <c r="C142" s="3"/>
      <c r="F142" s="7"/>
      <c r="G142" s="7"/>
    </row>
    <row r="143" spans="1:7" x14ac:dyDescent="0.25">
      <c r="A143" s="2"/>
      <c r="B143" s="3"/>
      <c r="C143" s="3"/>
      <c r="F143" s="7"/>
      <c r="G143" s="7"/>
    </row>
    <row r="144" spans="1:7" x14ac:dyDescent="0.25">
      <c r="A144" s="2"/>
      <c r="B144" s="3"/>
      <c r="C144" s="3"/>
      <c r="F144" s="7"/>
      <c r="G144" s="7"/>
    </row>
    <row r="145" spans="1:7" x14ac:dyDescent="0.25">
      <c r="A145" s="2"/>
      <c r="B145" s="3"/>
      <c r="C145" s="3"/>
      <c r="F145" s="7"/>
      <c r="G145" s="7"/>
    </row>
    <row r="146" spans="1:7" x14ac:dyDescent="0.25">
      <c r="A146" s="2"/>
      <c r="B146" s="3"/>
      <c r="C146" s="3"/>
      <c r="F146" s="7"/>
      <c r="G146" s="7"/>
    </row>
    <row r="147" spans="1:7" x14ac:dyDescent="0.25">
      <c r="A147" s="2"/>
      <c r="B147" s="3"/>
      <c r="C147" s="3"/>
      <c r="F147" s="7"/>
      <c r="G147" s="7"/>
    </row>
    <row r="148" spans="1:7" x14ac:dyDescent="0.25">
      <c r="A148" s="2"/>
      <c r="B148" s="3"/>
      <c r="C148" s="3"/>
      <c r="F148" s="7"/>
      <c r="G148" s="7"/>
    </row>
    <row r="149" spans="1:7" x14ac:dyDescent="0.25">
      <c r="A149" s="2"/>
      <c r="B149" s="3"/>
      <c r="C149" s="3"/>
      <c r="F149" s="7"/>
      <c r="G149" s="7"/>
    </row>
    <row r="150" spans="1:7" x14ac:dyDescent="0.25">
      <c r="A150" s="2"/>
      <c r="B150" s="3"/>
      <c r="C150" s="3"/>
      <c r="F150" s="7"/>
      <c r="G150" s="7"/>
    </row>
    <row r="151" spans="1:7" x14ac:dyDescent="0.25">
      <c r="A151" s="2"/>
      <c r="B151" s="3"/>
      <c r="C151" s="3"/>
      <c r="F151" s="7"/>
      <c r="G151" s="7"/>
    </row>
    <row r="152" spans="1:7" x14ac:dyDescent="0.25">
      <c r="A152" s="2"/>
      <c r="B152" s="3"/>
      <c r="C152" s="3"/>
      <c r="F152" s="7"/>
      <c r="G152" s="7"/>
    </row>
    <row r="153" spans="1:7" x14ac:dyDescent="0.25">
      <c r="A153" s="2"/>
      <c r="B153" s="3"/>
      <c r="C153" s="3"/>
      <c r="F153" s="7"/>
      <c r="G153" s="7"/>
    </row>
    <row r="154" spans="1:7" x14ac:dyDescent="0.25">
      <c r="A154" s="2"/>
      <c r="B154" s="3"/>
      <c r="C154" s="3"/>
      <c r="F154" s="7"/>
      <c r="G154" s="7"/>
    </row>
    <row r="155" spans="1:7" x14ac:dyDescent="0.25">
      <c r="A155" s="2"/>
      <c r="B155" s="3"/>
      <c r="C155" s="3"/>
      <c r="F155" s="7"/>
      <c r="G155" s="7"/>
    </row>
    <row r="156" spans="1:7" x14ac:dyDescent="0.25">
      <c r="A156" s="2"/>
      <c r="B156" s="3"/>
      <c r="C156" s="3"/>
      <c r="F156" s="7"/>
      <c r="G156" s="7"/>
    </row>
    <row r="157" spans="1:7" x14ac:dyDescent="0.25">
      <c r="A157" s="2"/>
      <c r="B157" s="3"/>
      <c r="C157" s="3"/>
      <c r="F157" s="7"/>
      <c r="G157" s="7"/>
    </row>
    <row r="158" spans="1:7" x14ac:dyDescent="0.25">
      <c r="A158" s="2"/>
      <c r="B158" s="3"/>
      <c r="C158" s="3"/>
      <c r="F158" s="7"/>
      <c r="G158" s="7"/>
    </row>
    <row r="159" spans="1:7" x14ac:dyDescent="0.25">
      <c r="A159" s="2"/>
      <c r="B159" s="3"/>
      <c r="C159" s="3"/>
      <c r="F159" s="7"/>
      <c r="G159" s="7"/>
    </row>
    <row r="160" spans="1:7" x14ac:dyDescent="0.25">
      <c r="A160" s="2"/>
      <c r="B160" s="3"/>
      <c r="C160" s="3"/>
      <c r="F160" s="7"/>
      <c r="G160" s="7"/>
    </row>
    <row r="161" spans="1:7" x14ac:dyDescent="0.25">
      <c r="A161" s="2"/>
      <c r="B161" s="3"/>
      <c r="C161" s="3"/>
      <c r="F161" s="7"/>
      <c r="G161" s="7"/>
    </row>
    <row r="162" spans="1:7" x14ac:dyDescent="0.25">
      <c r="A162" s="2"/>
      <c r="B162" s="3"/>
      <c r="C162" s="3"/>
      <c r="F162" s="7"/>
      <c r="G162" s="7"/>
    </row>
    <row r="163" spans="1:7" x14ac:dyDescent="0.25">
      <c r="A163" s="2"/>
      <c r="B163" s="3"/>
      <c r="C163" s="3"/>
      <c r="F163" s="7"/>
      <c r="G163" s="7"/>
    </row>
    <row r="164" spans="1:7" x14ac:dyDescent="0.25">
      <c r="A164" s="2"/>
      <c r="B164" s="3"/>
      <c r="C164" s="3"/>
      <c r="F164" s="7"/>
      <c r="G164" s="7"/>
    </row>
    <row r="165" spans="1:7" x14ac:dyDescent="0.25">
      <c r="A165" s="2"/>
      <c r="B165" s="3"/>
      <c r="C165" s="3"/>
      <c r="F165" s="7"/>
      <c r="G165" s="7"/>
    </row>
    <row r="166" spans="1:7" x14ac:dyDescent="0.25">
      <c r="A166" s="2"/>
      <c r="B166" s="3"/>
      <c r="C166" s="3"/>
      <c r="F166" s="7"/>
      <c r="G166" s="7"/>
    </row>
    <row r="167" spans="1:7" x14ac:dyDescent="0.25">
      <c r="A167" s="2"/>
      <c r="B167" s="3"/>
      <c r="C167" s="3"/>
      <c r="F167" s="7"/>
      <c r="G167" s="7"/>
    </row>
    <row r="168" spans="1:7" x14ac:dyDescent="0.25">
      <c r="A168" s="2"/>
      <c r="B168" s="3"/>
      <c r="C168" s="3"/>
      <c r="F168" s="7"/>
      <c r="G168" s="7"/>
    </row>
  </sheetData>
  <phoneticPr fontId="3" type="noConversion"/>
  <conditionalFormatting sqref="E2:E152">
    <cfRule type="cellIs" dxfId="61" priority="2" operator="greaterThan">
      <formula>10</formula>
    </cfRule>
  </conditionalFormatting>
  <pageMargins left="0.25" right="0.25" top="0.75" bottom="0.75" header="0.3" footer="0.3"/>
  <pageSetup paperSize="9" scale="86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2029911-ACAD-46B4-8FCE-32571878032D}">
          <x14:formula1>
            <xm:f>Podatki!$E$2:$E$49</xm:f>
          </x14:formula1>
          <xm:sqref>C99:C105</xm:sqref>
        </x14:dataValidation>
        <x14:dataValidation type="list" allowBlank="1" showInputMessage="1" showErrorMessage="1" xr:uid="{750AD992-A752-465F-BE99-28AA44F0BAA8}">
          <x14:formula1>
            <xm:f>Podatki!$E$2:$E$20</xm:f>
          </x14:formula1>
          <xm:sqref>C79:C98 C2:C77</xm:sqref>
        </x14:dataValidation>
        <x14:dataValidation type="list" allowBlank="1" showInputMessage="1" showErrorMessage="1" xr:uid="{CA9F4522-8060-4B78-B0D1-60192530298F}">
          <x14:formula1>
            <xm:f>Podatki!$A$2:$A$100</xm:f>
          </x14:formula1>
          <xm:sqref>A79:A105 A2:A77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356C7-82AF-4795-A83B-BAF146DA8378}">
  <dimension ref="A1:I40"/>
  <sheetViews>
    <sheetView view="pageLayout" zoomScale="80" zoomScaleNormal="100" zoomScalePageLayoutView="80" workbookViewId="0">
      <selection activeCell="D11" sqref="D11"/>
    </sheetView>
  </sheetViews>
  <sheetFormatPr defaultRowHeight="15" x14ac:dyDescent="0.25"/>
  <cols>
    <col min="1" max="1" width="7.5703125" customWidth="1"/>
    <col min="2" max="2" width="27.7109375" customWidth="1"/>
    <col min="3" max="3" width="12" customWidth="1"/>
    <col min="4" max="4" width="18.28515625" customWidth="1"/>
    <col min="5" max="5" width="18.7109375" customWidth="1"/>
  </cols>
  <sheetData>
    <row r="1" spans="1:9" ht="15" customHeight="1" x14ac:dyDescent="0.25">
      <c r="B1" s="49"/>
      <c r="C1" s="93" t="str">
        <f>_xlfn.TEXTJOIN("",TRUE,"IZVOZ ",DAY(E7),".",MONTH(E7),".",YEAR(E7))</f>
        <v>IZVOZ 0.1.1900</v>
      </c>
      <c r="D1" s="93"/>
      <c r="E1" s="93"/>
    </row>
    <row r="2" spans="1:9" ht="15" customHeight="1" x14ac:dyDescent="0.25">
      <c r="B2" s="49"/>
      <c r="C2" s="93"/>
      <c r="D2" s="93"/>
      <c r="E2" s="93"/>
      <c r="F2" s="26"/>
      <c r="G2" s="26"/>
      <c r="H2" s="26"/>
      <c r="I2" s="26"/>
    </row>
    <row r="3" spans="1:9" ht="15" customHeight="1" x14ac:dyDescent="0.25">
      <c r="B3" s="49"/>
      <c r="C3" s="93"/>
      <c r="D3" s="93"/>
      <c r="E3" s="93"/>
      <c r="F3" s="26"/>
      <c r="G3" s="26"/>
      <c r="H3" s="26"/>
      <c r="I3" s="26"/>
    </row>
    <row r="4" spans="1:9" ht="15" customHeight="1" x14ac:dyDescent="0.25">
      <c r="B4" s="49"/>
      <c r="C4" s="94" t="s">
        <v>252</v>
      </c>
      <c r="D4" s="93"/>
      <c r="E4" s="93"/>
    </row>
    <row r="5" spans="1:9" x14ac:dyDescent="0.25">
      <c r="C5" s="93"/>
      <c r="D5" s="93"/>
      <c r="E5" s="93"/>
    </row>
    <row r="6" spans="1:9" ht="37.5" x14ac:dyDescent="0.25">
      <c r="A6" s="47" t="s">
        <v>79</v>
      </c>
      <c r="B6" s="43" t="s">
        <v>15</v>
      </c>
      <c r="C6" s="43" t="s">
        <v>37</v>
      </c>
      <c r="D6" s="44" t="s">
        <v>85</v>
      </c>
      <c r="E6" s="45" t="s">
        <v>45</v>
      </c>
    </row>
    <row r="7" spans="1:9" ht="19.7" customHeight="1" x14ac:dyDescent="0.25">
      <c r="A7" s="55">
        <v>1</v>
      </c>
      <c r="D7" s="85"/>
      <c r="E7" s="57"/>
    </row>
    <row r="8" spans="1:9" ht="19.7" customHeight="1" x14ac:dyDescent="0.25">
      <c r="A8" s="55">
        <f t="shared" ref="A8:A18" si="0">A7+1</f>
        <v>2</v>
      </c>
      <c r="E8" s="57"/>
    </row>
    <row r="9" spans="1:9" ht="19.7" customHeight="1" x14ac:dyDescent="0.25">
      <c r="A9" s="55">
        <f t="shared" si="0"/>
        <v>3</v>
      </c>
      <c r="E9" s="57"/>
    </row>
    <row r="10" spans="1:9" ht="19.7" customHeight="1" x14ac:dyDescent="0.25">
      <c r="A10" s="58">
        <f t="shared" si="0"/>
        <v>4</v>
      </c>
      <c r="E10" s="60"/>
    </row>
    <row r="11" spans="1:9" ht="19.7" customHeight="1" x14ac:dyDescent="0.25">
      <c r="A11" s="11">
        <f t="shared" si="0"/>
        <v>5</v>
      </c>
      <c r="E11" s="23"/>
    </row>
    <row r="12" spans="1:9" ht="19.7" customHeight="1" x14ac:dyDescent="0.25">
      <c r="A12" s="11">
        <f t="shared" si="0"/>
        <v>6</v>
      </c>
      <c r="E12" s="23"/>
    </row>
    <row r="13" spans="1:9" ht="19.7" customHeight="1" x14ac:dyDescent="0.25">
      <c r="A13" s="11">
        <f t="shared" si="0"/>
        <v>7</v>
      </c>
      <c r="B13" s="55"/>
      <c r="C13" s="56"/>
      <c r="D13" s="11"/>
      <c r="E13" s="23"/>
    </row>
    <row r="14" spans="1:9" ht="19.7" customHeight="1" x14ac:dyDescent="0.25">
      <c r="A14" s="11">
        <f t="shared" si="0"/>
        <v>8</v>
      </c>
      <c r="B14" s="55"/>
      <c r="C14" s="56"/>
      <c r="D14" s="11"/>
      <c r="E14" s="23" t="str">
        <f>IF(Tabela7[[#This Row],[Neto teža (kg)  ]]&gt;0,E13,"")</f>
        <v/>
      </c>
    </row>
    <row r="15" spans="1:9" ht="19.7" customHeight="1" x14ac:dyDescent="0.25">
      <c r="A15" s="11">
        <f t="shared" si="0"/>
        <v>9</v>
      </c>
      <c r="B15" s="55"/>
      <c r="C15" s="56"/>
      <c r="D15" s="11"/>
      <c r="E15" s="23" t="str">
        <f>IF(Tabela7[[#This Row],[Neto teža (kg)  ]]&gt;0,E14,"")</f>
        <v/>
      </c>
    </row>
    <row r="16" spans="1:9" ht="19.7" customHeight="1" x14ac:dyDescent="0.25">
      <c r="A16" s="11">
        <f t="shared" si="0"/>
        <v>10</v>
      </c>
      <c r="B16" s="55"/>
      <c r="C16" s="56"/>
      <c r="D16" s="11"/>
      <c r="E16" s="23" t="str">
        <f>IF(Tabela7[[#This Row],[Neto teža (kg)  ]]&gt;0,E15,"")</f>
        <v/>
      </c>
    </row>
    <row r="17" spans="1:5" ht="19.7" customHeight="1" x14ac:dyDescent="0.25">
      <c r="A17">
        <f t="shared" si="0"/>
        <v>11</v>
      </c>
      <c r="B17" s="55"/>
      <c r="C17" s="56"/>
      <c r="E17" s="24" t="str">
        <f>IF(Tabela7[[#This Row],[Neto teža (kg)  ]]&gt;0,E16,"")</f>
        <v/>
      </c>
    </row>
    <row r="18" spans="1:5" ht="19.7" customHeight="1" x14ac:dyDescent="0.25">
      <c r="A18">
        <f t="shared" si="0"/>
        <v>12</v>
      </c>
      <c r="B18" s="55"/>
      <c r="C18" s="79"/>
      <c r="E18" s="24" t="str">
        <f>IF(Tabela7[[#This Row],[Neto teža (kg)  ]]&gt;0,E17,"")</f>
        <v/>
      </c>
    </row>
    <row r="19" spans="1:5" ht="19.7" customHeight="1" x14ac:dyDescent="0.25">
      <c r="A19" s="48">
        <f t="shared" ref="A19:A35" si="1">A18+1</f>
        <v>13</v>
      </c>
      <c r="B19" s="55"/>
      <c r="C19" s="79"/>
      <c r="E19" s="24" t="str">
        <f>IF(Tabela7[[#This Row],[Neto teža (kg)  ]]&gt;0,E18,"")</f>
        <v/>
      </c>
    </row>
    <row r="20" spans="1:5" ht="19.7" customHeight="1" x14ac:dyDescent="0.25">
      <c r="A20" s="48">
        <f t="shared" si="1"/>
        <v>14</v>
      </c>
      <c r="B20" s="55"/>
      <c r="C20" s="79"/>
      <c r="E20" s="24" t="str">
        <f>IF(Tabela7[[#This Row],[Neto teža (kg)  ]]&gt;0,E19,"")</f>
        <v/>
      </c>
    </row>
    <row r="21" spans="1:5" ht="19.7" customHeight="1" x14ac:dyDescent="0.25">
      <c r="A21" s="48">
        <f t="shared" si="1"/>
        <v>15</v>
      </c>
      <c r="B21" s="55"/>
      <c r="C21" s="79"/>
      <c r="E21" s="24" t="str">
        <f>IF(Tabela7[[#This Row],[Neto teža (kg)  ]]&gt;0,E20,"")</f>
        <v/>
      </c>
    </row>
    <row r="22" spans="1:5" ht="19.7" customHeight="1" x14ac:dyDescent="0.25">
      <c r="A22" s="48">
        <f t="shared" si="1"/>
        <v>16</v>
      </c>
      <c r="B22" s="55"/>
      <c r="C22" s="79"/>
      <c r="E22" s="24" t="str">
        <f>IF(Tabela7[[#This Row],[Neto teža (kg)  ]]&gt;0,E21,"")</f>
        <v/>
      </c>
    </row>
    <row r="23" spans="1:5" ht="19.7" customHeight="1" x14ac:dyDescent="0.25">
      <c r="A23" s="48">
        <f t="shared" si="1"/>
        <v>17</v>
      </c>
      <c r="C23" s="80"/>
      <c r="E23" s="24" t="str">
        <f>IF(Tabela7[[#This Row],[Neto teža (kg)  ]]&gt;0,E22,"")</f>
        <v/>
      </c>
    </row>
    <row r="24" spans="1:5" ht="19.7" customHeight="1" x14ac:dyDescent="0.25">
      <c r="A24" s="48">
        <f t="shared" si="1"/>
        <v>18</v>
      </c>
      <c r="E24" s="24" t="str">
        <f>IF(Tabela7[[#This Row],[Neto teža (kg)  ]]&gt;0,E23,"")</f>
        <v/>
      </c>
    </row>
    <row r="25" spans="1:5" ht="19.7" customHeight="1" x14ac:dyDescent="0.25">
      <c r="A25" s="48">
        <f t="shared" si="1"/>
        <v>19</v>
      </c>
      <c r="E25" s="24" t="str">
        <f>IF(Tabela7[[#This Row],[Neto teža (kg)  ]]&gt;0,E24,"")</f>
        <v/>
      </c>
    </row>
    <row r="26" spans="1:5" ht="19.7" customHeight="1" x14ac:dyDescent="0.25">
      <c r="A26" s="48">
        <f t="shared" si="1"/>
        <v>20</v>
      </c>
      <c r="E26" s="24" t="str">
        <f>IF(Tabela7[[#This Row],[Neto teža (kg)  ]]&gt;0,E25,"")</f>
        <v/>
      </c>
    </row>
    <row r="27" spans="1:5" ht="19.7" customHeight="1" x14ac:dyDescent="0.25">
      <c r="A27" s="48">
        <f t="shared" si="1"/>
        <v>21</v>
      </c>
      <c r="E27" s="24" t="str">
        <f>IF(Tabela7[[#This Row],[Neto teža (kg)  ]]&gt;0,E26,"")</f>
        <v/>
      </c>
    </row>
    <row r="28" spans="1:5" ht="19.7" customHeight="1" x14ac:dyDescent="0.25">
      <c r="A28" s="48">
        <f t="shared" si="1"/>
        <v>22</v>
      </c>
      <c r="E28" s="24" t="str">
        <f>IF(Tabela7[[#This Row],[Neto teža (kg)  ]]&gt;0,E27,"")</f>
        <v/>
      </c>
    </row>
    <row r="29" spans="1:5" ht="19.7" customHeight="1" x14ac:dyDescent="0.25">
      <c r="A29" s="48">
        <f t="shared" si="1"/>
        <v>23</v>
      </c>
      <c r="E29" s="24" t="str">
        <f>IF(Tabela7[[#This Row],[Neto teža (kg)  ]]&gt;0,E28,"")</f>
        <v/>
      </c>
    </row>
    <row r="30" spans="1:5" ht="19.7" customHeight="1" x14ac:dyDescent="0.25">
      <c r="A30" s="48">
        <f t="shared" si="1"/>
        <v>24</v>
      </c>
      <c r="E30" s="24" t="str">
        <f>IF(Tabela7[[#This Row],[Neto teža (kg)  ]]&gt;0,E29,"")</f>
        <v/>
      </c>
    </row>
    <row r="31" spans="1:5" ht="19.7" customHeight="1" x14ac:dyDescent="0.25">
      <c r="A31" s="48">
        <f t="shared" si="1"/>
        <v>25</v>
      </c>
      <c r="E31" s="24" t="str">
        <f>IF(Tabela7[[#This Row],[Neto teža (kg)  ]]&gt;0,E30,"")</f>
        <v/>
      </c>
    </row>
    <row r="32" spans="1:5" ht="19.7" customHeight="1" x14ac:dyDescent="0.25">
      <c r="A32" s="48">
        <f t="shared" si="1"/>
        <v>26</v>
      </c>
      <c r="E32" s="24" t="str">
        <f>IF(Tabela7[[#This Row],[Neto teža (kg)  ]]&gt;0,E31,"")</f>
        <v/>
      </c>
    </row>
    <row r="33" spans="1:5" ht="19.7" customHeight="1" x14ac:dyDescent="0.25">
      <c r="A33" s="48">
        <f t="shared" si="1"/>
        <v>27</v>
      </c>
      <c r="E33" s="24" t="str">
        <f>IF(Tabela7[[#This Row],[Neto teža (kg)  ]]&gt;0,E32,"")</f>
        <v/>
      </c>
    </row>
    <row r="34" spans="1:5" ht="19.7" customHeight="1" x14ac:dyDescent="0.25">
      <c r="A34" s="48">
        <f t="shared" si="1"/>
        <v>28</v>
      </c>
      <c r="E34" s="24" t="str">
        <f>IF(Tabela7[[#This Row],[Neto teža (kg)  ]]&gt;0,E33,"")</f>
        <v/>
      </c>
    </row>
    <row r="35" spans="1:5" ht="19.7" customHeight="1" x14ac:dyDescent="0.25">
      <c r="A35" s="48">
        <f t="shared" si="1"/>
        <v>29</v>
      </c>
      <c r="E35" s="24" t="str">
        <f>IF(Tabela7[[#This Row],[Neto teža (kg)  ]]&gt;0,E34,"")</f>
        <v/>
      </c>
    </row>
    <row r="36" spans="1:5" ht="17.100000000000001" customHeight="1" x14ac:dyDescent="0.25">
      <c r="A36" s="48">
        <f>A35+1</f>
        <v>30</v>
      </c>
      <c r="E36" s="24" t="str">
        <f>IF(Tabela7[[#This Row],[Neto teža (kg)  ]]&gt;0,E35,"")</f>
        <v/>
      </c>
    </row>
    <row r="37" spans="1:5" ht="17.100000000000001" customHeight="1" thickBot="1" x14ac:dyDescent="0.3">
      <c r="A37" s="50" t="s">
        <v>80</v>
      </c>
      <c r="B37" s="50">
        <f>SUBTOTAL(103,Tabela7[Klas. št. ])</f>
        <v>0</v>
      </c>
      <c r="C37" s="50"/>
      <c r="D37" s="50">
        <f>SUBTOTAL(109,Tabela7[Neto teža (kg)  ])</f>
        <v>0</v>
      </c>
      <c r="E37" s="50"/>
    </row>
    <row r="38" spans="1:5" ht="12" customHeight="1" thickTop="1" thickBot="1" x14ac:dyDescent="0.3">
      <c r="A38" s="95" t="s">
        <v>81</v>
      </c>
      <c r="B38" s="95"/>
      <c r="C38" s="51" t="s">
        <v>82</v>
      </c>
      <c r="D38" s="51" t="s">
        <v>84</v>
      </c>
      <c r="E38" s="51" t="s">
        <v>83</v>
      </c>
    </row>
    <row r="39" spans="1:5" ht="27" customHeight="1" thickTop="1" thickBot="1" x14ac:dyDescent="0.3">
      <c r="A39" s="96" t="s">
        <v>246</v>
      </c>
      <c r="B39" s="96"/>
      <c r="C39" s="51"/>
      <c r="D39" s="51"/>
      <c r="E39" s="51">
        <f>D39-C39-Tabela7[[#Totals],[Neto teža (kg)  ]]</f>
        <v>0</v>
      </c>
    </row>
    <row r="40" spans="1:5" ht="15.75" thickTop="1" x14ac:dyDescent="0.25"/>
  </sheetData>
  <mergeCells count="4">
    <mergeCell ref="C1:E3"/>
    <mergeCell ref="C4:E5"/>
    <mergeCell ref="A38:B38"/>
    <mergeCell ref="A39:B39"/>
  </mergeCells>
  <phoneticPr fontId="3" type="noConversion"/>
  <pageMargins left="0.7" right="0.7" top="0.75" bottom="0.75" header="0.3" footer="0.3"/>
  <pageSetup paperSize="9" orientation="portrait" r:id="rId1"/>
  <headerFooter>
    <oddFooter>&amp;LPripravil:  ______________________&amp;CPodpis:</oddFooter>
  </headerFooter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C0494F5-94F4-4A72-9760-AA12964B1FE8}">
          <x14:formula1>
            <xm:f>Podatki!$E$2:$E$29</xm:f>
          </x14:formula1>
          <xm:sqref>C7:C12</xm:sqref>
        </x14:dataValidation>
        <x14:dataValidation type="list" allowBlank="1" showInputMessage="1" showErrorMessage="1" xr:uid="{2DAB67A6-04A8-46DB-AB19-81EAE90925FB}">
          <x14:formula1>
            <xm:f>Podatki!$A$2:$A$98</xm:f>
          </x14:formula1>
          <xm:sqref>B7:B12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3312E-1631-406C-99C9-F019C8241DE8}">
  <dimension ref="A1:H334"/>
  <sheetViews>
    <sheetView workbookViewId="0">
      <pane ySplit="1" topLeftCell="A2" activePane="bottomLeft" state="frozen"/>
      <selection pane="bottomLeft" activeCell="D332" sqref="D332"/>
    </sheetView>
  </sheetViews>
  <sheetFormatPr defaultRowHeight="15" x14ac:dyDescent="0.25"/>
  <cols>
    <col min="1" max="1" width="22.7109375" customWidth="1"/>
    <col min="2" max="2" width="20" customWidth="1"/>
    <col min="3" max="3" width="13.5703125" customWidth="1"/>
    <col min="4" max="4" width="18" customWidth="1"/>
    <col min="5" max="5" width="21.85546875" customWidth="1"/>
    <col min="6" max="6" width="19" customWidth="1"/>
    <col min="7" max="7" width="16.140625" customWidth="1"/>
    <col min="8" max="8" width="53.7109375" customWidth="1"/>
  </cols>
  <sheetData>
    <row r="1" spans="1:8" ht="17.25" customHeight="1" x14ac:dyDescent="0.25">
      <c r="A1" s="8" t="s">
        <v>15</v>
      </c>
      <c r="B1" s="8" t="s">
        <v>38</v>
      </c>
      <c r="C1" s="8" t="s">
        <v>37</v>
      </c>
      <c r="D1" s="9" t="s">
        <v>54</v>
      </c>
      <c r="E1" s="9" t="s">
        <v>191</v>
      </c>
      <c r="F1" s="10" t="s">
        <v>33</v>
      </c>
      <c r="G1" s="12" t="s">
        <v>34</v>
      </c>
      <c r="H1" s="37" t="s">
        <v>69</v>
      </c>
    </row>
    <row r="2" spans="1:8" x14ac:dyDescent="0.25">
      <c r="A2" t="s">
        <v>50</v>
      </c>
      <c r="C2" t="s">
        <v>53</v>
      </c>
      <c r="D2">
        <v>1346</v>
      </c>
      <c r="E2" t="s">
        <v>192</v>
      </c>
      <c r="F2" s="24">
        <v>44039</v>
      </c>
      <c r="G2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3" spans="1:8" x14ac:dyDescent="0.25">
      <c r="A3" t="s">
        <v>50</v>
      </c>
      <c r="C3" t="s">
        <v>53</v>
      </c>
      <c r="D3">
        <v>1416</v>
      </c>
      <c r="E3" t="s">
        <v>192</v>
      </c>
      <c r="F3" s="24">
        <v>44039</v>
      </c>
      <c r="G3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4" spans="1:8" x14ac:dyDescent="0.25">
      <c r="A4" t="s">
        <v>1</v>
      </c>
      <c r="C4" t="s">
        <v>53</v>
      </c>
      <c r="D4">
        <v>328</v>
      </c>
      <c r="E4" t="s">
        <v>192</v>
      </c>
      <c r="F4" s="23">
        <v>44039</v>
      </c>
      <c r="G4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5" spans="1:8" x14ac:dyDescent="0.25">
      <c r="A5" t="s">
        <v>1</v>
      </c>
      <c r="C5" t="s">
        <v>53</v>
      </c>
      <c r="D5">
        <v>311</v>
      </c>
      <c r="E5" t="s">
        <v>192</v>
      </c>
      <c r="F5" s="23">
        <v>44039</v>
      </c>
      <c r="G5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6" spans="1:8" x14ac:dyDescent="0.25">
      <c r="A6" t="s">
        <v>1</v>
      </c>
      <c r="C6" t="s">
        <v>53</v>
      </c>
      <c r="D6">
        <v>346</v>
      </c>
      <c r="E6" t="s">
        <v>192</v>
      </c>
      <c r="F6" s="24">
        <v>44039</v>
      </c>
      <c r="G6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7" spans="1:8" x14ac:dyDescent="0.25">
      <c r="A7" t="s">
        <v>1</v>
      </c>
      <c r="C7" t="s">
        <v>53</v>
      </c>
      <c r="D7">
        <v>272</v>
      </c>
      <c r="E7" t="s">
        <v>192</v>
      </c>
      <c r="F7" s="24">
        <v>44039</v>
      </c>
      <c r="G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8" spans="1:8" x14ac:dyDescent="0.25">
      <c r="A8" t="s">
        <v>4</v>
      </c>
      <c r="C8" t="s">
        <v>53</v>
      </c>
      <c r="D8">
        <v>198</v>
      </c>
      <c r="E8" t="s">
        <v>192</v>
      </c>
      <c r="F8" s="24">
        <v>44133</v>
      </c>
      <c r="G8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9" spans="1:8" x14ac:dyDescent="0.25">
      <c r="A9" t="s">
        <v>13</v>
      </c>
      <c r="C9" t="s">
        <v>53</v>
      </c>
      <c r="D9" s="83">
        <v>295</v>
      </c>
      <c r="E9" t="s">
        <v>192</v>
      </c>
      <c r="F9" s="24">
        <v>44039</v>
      </c>
      <c r="G9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0" spans="1:8" x14ac:dyDescent="0.25">
      <c r="A10" t="s">
        <v>13</v>
      </c>
      <c r="C10" t="s">
        <v>53</v>
      </c>
      <c r="D10" s="83">
        <v>295</v>
      </c>
      <c r="E10" t="s">
        <v>192</v>
      </c>
      <c r="F10" s="24">
        <v>44039</v>
      </c>
      <c r="G10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1" spans="1:8" x14ac:dyDescent="0.25">
      <c r="A11" t="s">
        <v>13</v>
      </c>
      <c r="C11" t="s">
        <v>53</v>
      </c>
      <c r="D11">
        <v>988</v>
      </c>
      <c r="E11" t="s">
        <v>192</v>
      </c>
      <c r="F11" s="23">
        <v>44039</v>
      </c>
      <c r="G11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2" spans="1:8" x14ac:dyDescent="0.25">
      <c r="A12" t="s">
        <v>13</v>
      </c>
      <c r="C12" t="s">
        <v>53</v>
      </c>
      <c r="D12">
        <v>860</v>
      </c>
      <c r="E12" t="s">
        <v>192</v>
      </c>
      <c r="F12" s="24">
        <v>44039</v>
      </c>
      <c r="G12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3" spans="1:8" x14ac:dyDescent="0.25">
      <c r="A13" t="s">
        <v>13</v>
      </c>
      <c r="C13" t="s">
        <v>53</v>
      </c>
      <c r="D13">
        <v>292</v>
      </c>
      <c r="E13" t="s">
        <v>192</v>
      </c>
      <c r="F13" s="24">
        <v>44039</v>
      </c>
      <c r="G13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4" spans="1:8" x14ac:dyDescent="0.25">
      <c r="A14" t="s">
        <v>13</v>
      </c>
      <c r="C14" t="s">
        <v>53</v>
      </c>
      <c r="D14" s="83">
        <v>295</v>
      </c>
      <c r="E14" t="s">
        <v>192</v>
      </c>
      <c r="F14" s="23">
        <v>44039</v>
      </c>
      <c r="G14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5" spans="1:8" x14ac:dyDescent="0.25">
      <c r="A15" t="s">
        <v>13</v>
      </c>
      <c r="C15" t="s">
        <v>53</v>
      </c>
      <c r="D15">
        <v>224</v>
      </c>
      <c r="E15" t="s">
        <v>192</v>
      </c>
      <c r="F15" s="24">
        <v>44039</v>
      </c>
      <c r="G15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6" spans="1:8" x14ac:dyDescent="0.25">
      <c r="A16" t="s">
        <v>13</v>
      </c>
      <c r="C16" t="s">
        <v>53</v>
      </c>
      <c r="D16">
        <v>295</v>
      </c>
      <c r="E16" t="s">
        <v>192</v>
      </c>
      <c r="F16" s="24">
        <v>44039</v>
      </c>
      <c r="G16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7" spans="1:7" x14ac:dyDescent="0.25">
      <c r="A17" t="s">
        <v>13</v>
      </c>
      <c r="C17" t="s">
        <v>53</v>
      </c>
      <c r="D17">
        <v>189</v>
      </c>
      <c r="E17" t="s">
        <v>192</v>
      </c>
      <c r="F17" s="24">
        <v>44039</v>
      </c>
      <c r="G1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8" spans="1:7" x14ac:dyDescent="0.25">
      <c r="A18" t="s">
        <v>13</v>
      </c>
      <c r="C18" t="s">
        <v>53</v>
      </c>
      <c r="D18">
        <v>581</v>
      </c>
      <c r="E18" t="s">
        <v>192</v>
      </c>
      <c r="F18" s="23">
        <v>44039</v>
      </c>
      <c r="G1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9" spans="1:7" x14ac:dyDescent="0.25">
      <c r="A19" t="s">
        <v>13</v>
      </c>
      <c r="C19" t="s">
        <v>53</v>
      </c>
      <c r="D19">
        <v>893</v>
      </c>
      <c r="E19" t="s">
        <v>192</v>
      </c>
      <c r="F19" s="24">
        <v>44039</v>
      </c>
      <c r="G19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0" spans="1:7" x14ac:dyDescent="0.25">
      <c r="A20" t="s">
        <v>13</v>
      </c>
      <c r="C20" t="s">
        <v>53</v>
      </c>
      <c r="D20">
        <v>429</v>
      </c>
      <c r="E20" t="s">
        <v>192</v>
      </c>
      <c r="F20" s="23">
        <v>44039</v>
      </c>
      <c r="G20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1" spans="1:7" x14ac:dyDescent="0.25">
      <c r="A21" t="s">
        <v>13</v>
      </c>
      <c r="C21" t="s">
        <v>53</v>
      </c>
      <c r="D21">
        <v>487</v>
      </c>
      <c r="E21" t="s">
        <v>192</v>
      </c>
      <c r="F21" s="24">
        <v>44039</v>
      </c>
      <c r="G21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2" spans="1:7" x14ac:dyDescent="0.25">
      <c r="A22" t="s">
        <v>13</v>
      </c>
      <c r="C22" t="s">
        <v>53</v>
      </c>
      <c r="D22">
        <v>657</v>
      </c>
      <c r="E22" t="s">
        <v>192</v>
      </c>
      <c r="F22" s="23">
        <v>44039</v>
      </c>
      <c r="G22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3" spans="1:7" x14ac:dyDescent="0.25">
      <c r="A23" t="s">
        <v>13</v>
      </c>
      <c r="C23" t="s">
        <v>53</v>
      </c>
      <c r="D23">
        <v>1094</v>
      </c>
      <c r="E23" t="s">
        <v>192</v>
      </c>
      <c r="F23" s="24">
        <v>44039</v>
      </c>
      <c r="G23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4" spans="1:7" x14ac:dyDescent="0.25">
      <c r="A24" t="s">
        <v>91</v>
      </c>
      <c r="C24" t="s">
        <v>53</v>
      </c>
      <c r="D24">
        <v>50</v>
      </c>
      <c r="E24" t="s">
        <v>192</v>
      </c>
      <c r="F24" s="23">
        <v>44039</v>
      </c>
      <c r="G24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5" spans="1:7" x14ac:dyDescent="0.25">
      <c r="A25" t="s">
        <v>21</v>
      </c>
      <c r="C25" t="s">
        <v>53</v>
      </c>
      <c r="D25">
        <v>17</v>
      </c>
      <c r="E25" t="s">
        <v>192</v>
      </c>
      <c r="F25" s="24">
        <v>44039</v>
      </c>
      <c r="G25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6" spans="1:7" x14ac:dyDescent="0.25">
      <c r="A26" t="s">
        <v>58</v>
      </c>
      <c r="C26" t="s">
        <v>53</v>
      </c>
      <c r="D26">
        <v>495</v>
      </c>
      <c r="E26" t="s">
        <v>192</v>
      </c>
      <c r="F26" s="23">
        <v>44039</v>
      </c>
      <c r="G26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7" spans="1:7" x14ac:dyDescent="0.25">
      <c r="A27" t="s">
        <v>2</v>
      </c>
      <c r="C27" t="s">
        <v>53</v>
      </c>
      <c r="D27">
        <v>960</v>
      </c>
      <c r="E27" t="s">
        <v>192</v>
      </c>
      <c r="F27" s="23">
        <v>44039</v>
      </c>
      <c r="G2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8" spans="1:7" x14ac:dyDescent="0.25">
      <c r="A28" t="s">
        <v>2</v>
      </c>
      <c r="C28" t="s">
        <v>47</v>
      </c>
      <c r="D28">
        <v>1560</v>
      </c>
      <c r="E28" t="s">
        <v>192</v>
      </c>
      <c r="F28" s="24">
        <v>44039</v>
      </c>
      <c r="G2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9" spans="1:7" x14ac:dyDescent="0.25">
      <c r="A29" t="s">
        <v>2</v>
      </c>
      <c r="C29" t="s">
        <v>47</v>
      </c>
      <c r="D29">
        <v>1680</v>
      </c>
      <c r="E29" t="s">
        <v>192</v>
      </c>
      <c r="F29" s="23">
        <v>44039</v>
      </c>
      <c r="G29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30" spans="1:7" x14ac:dyDescent="0.25">
      <c r="A30" s="11" t="s">
        <v>26</v>
      </c>
      <c r="B30" s="11"/>
      <c r="C30" s="11" t="s">
        <v>47</v>
      </c>
      <c r="D30" s="11">
        <v>433</v>
      </c>
      <c r="E30" t="s">
        <v>192</v>
      </c>
      <c r="F30" s="23">
        <v>44039</v>
      </c>
      <c r="G30" s="11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31" spans="1:7" x14ac:dyDescent="0.25">
      <c r="A31" t="s">
        <v>26</v>
      </c>
      <c r="C31" t="s">
        <v>47</v>
      </c>
      <c r="D31">
        <v>1405</v>
      </c>
      <c r="E31" t="s">
        <v>192</v>
      </c>
      <c r="F31" s="24">
        <v>44039</v>
      </c>
      <c r="G31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32" spans="1:7" x14ac:dyDescent="0.25">
      <c r="A32" t="s">
        <v>18</v>
      </c>
      <c r="C32" t="s">
        <v>53</v>
      </c>
      <c r="D32">
        <v>636</v>
      </c>
      <c r="E32" t="s">
        <v>192</v>
      </c>
      <c r="F32" s="24">
        <v>44039</v>
      </c>
      <c r="G32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33" spans="1:7" x14ac:dyDescent="0.25">
      <c r="A33" t="s">
        <v>18</v>
      </c>
      <c r="C33" t="s">
        <v>53</v>
      </c>
      <c r="D33">
        <v>277</v>
      </c>
      <c r="E33" t="s">
        <v>192</v>
      </c>
      <c r="F33" s="23">
        <v>44039</v>
      </c>
      <c r="G33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34" spans="1:7" x14ac:dyDescent="0.25">
      <c r="A34" t="s">
        <v>0</v>
      </c>
      <c r="C34" t="s">
        <v>53</v>
      </c>
      <c r="D34">
        <v>225</v>
      </c>
      <c r="E34" t="s">
        <v>192</v>
      </c>
      <c r="F34" s="24">
        <v>44039</v>
      </c>
      <c r="G34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35" spans="1:7" x14ac:dyDescent="0.25">
      <c r="A35" t="s">
        <v>0</v>
      </c>
      <c r="C35" t="s">
        <v>53</v>
      </c>
      <c r="D35">
        <v>400</v>
      </c>
      <c r="E35" t="s">
        <v>192</v>
      </c>
      <c r="F35" s="24">
        <v>44039</v>
      </c>
      <c r="G35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36" spans="1:7" x14ac:dyDescent="0.25">
      <c r="A36" t="s">
        <v>0</v>
      </c>
      <c r="C36" t="s">
        <v>53</v>
      </c>
      <c r="D36">
        <f>92+80</f>
        <v>172</v>
      </c>
      <c r="E36" t="s">
        <v>192</v>
      </c>
      <c r="F36" s="23">
        <v>44039</v>
      </c>
      <c r="G36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37" spans="1:7" x14ac:dyDescent="0.25">
      <c r="A37" t="s">
        <v>0</v>
      </c>
      <c r="C37" t="s">
        <v>49</v>
      </c>
      <c r="D37">
        <v>340</v>
      </c>
      <c r="E37" t="s">
        <v>192</v>
      </c>
      <c r="F37" s="23">
        <v>44039</v>
      </c>
      <c r="G3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38" spans="1:7" x14ac:dyDescent="0.25">
      <c r="A38" t="s">
        <v>60</v>
      </c>
      <c r="C38" t="s">
        <v>53</v>
      </c>
      <c r="D38">
        <v>1710</v>
      </c>
      <c r="E38" t="s">
        <v>192</v>
      </c>
      <c r="F38" s="24">
        <v>44039</v>
      </c>
      <c r="G3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39" spans="1:7" x14ac:dyDescent="0.25">
      <c r="A39" t="s">
        <v>60</v>
      </c>
      <c r="C39" t="s">
        <v>53</v>
      </c>
      <c r="D39">
        <v>1380</v>
      </c>
      <c r="E39" t="s">
        <v>192</v>
      </c>
      <c r="F39" s="24">
        <v>44039</v>
      </c>
      <c r="G39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40" spans="1:7" x14ac:dyDescent="0.25">
      <c r="A40" t="s">
        <v>60</v>
      </c>
      <c r="C40" t="s">
        <v>53</v>
      </c>
      <c r="D40">
        <v>1490</v>
      </c>
      <c r="E40" t="s">
        <v>192</v>
      </c>
      <c r="F40" s="23">
        <v>44039</v>
      </c>
      <c r="G40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41" spans="1:7" x14ac:dyDescent="0.25">
      <c r="A41" t="s">
        <v>60</v>
      </c>
      <c r="C41" t="s">
        <v>53</v>
      </c>
      <c r="D41">
        <v>2176</v>
      </c>
      <c r="E41" t="s">
        <v>192</v>
      </c>
      <c r="F41" s="24">
        <v>44039</v>
      </c>
      <c r="G41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42" spans="1:7" x14ac:dyDescent="0.25">
      <c r="A42" t="s">
        <v>60</v>
      </c>
      <c r="C42" t="s">
        <v>53</v>
      </c>
      <c r="D42">
        <v>591</v>
      </c>
      <c r="E42" t="s">
        <v>192</v>
      </c>
      <c r="F42" s="24">
        <v>44039</v>
      </c>
      <c r="G42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43" spans="1:7" x14ac:dyDescent="0.25">
      <c r="A43" t="s">
        <v>27</v>
      </c>
      <c r="C43" t="s">
        <v>48</v>
      </c>
      <c r="D43">
        <v>350</v>
      </c>
      <c r="E43" t="s">
        <v>192</v>
      </c>
      <c r="F43" s="24">
        <v>44039</v>
      </c>
      <c r="G43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44" spans="1:7" x14ac:dyDescent="0.25">
      <c r="A44" t="s">
        <v>5</v>
      </c>
      <c r="C44" t="s">
        <v>53</v>
      </c>
      <c r="D44" s="84">
        <v>199</v>
      </c>
      <c r="E44" t="s">
        <v>192</v>
      </c>
      <c r="F44" s="23">
        <v>44039</v>
      </c>
      <c r="G44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45" spans="1:7" x14ac:dyDescent="0.25">
      <c r="A45" t="s">
        <v>5</v>
      </c>
      <c r="C45" t="s">
        <v>53</v>
      </c>
      <c r="D45" s="84">
        <v>276</v>
      </c>
      <c r="E45" t="s">
        <v>192</v>
      </c>
      <c r="F45" s="24">
        <v>44039</v>
      </c>
      <c r="G45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46" spans="1:7" x14ac:dyDescent="0.25">
      <c r="A46" t="s">
        <v>5</v>
      </c>
      <c r="C46" t="s">
        <v>53</v>
      </c>
      <c r="D46">
        <v>137</v>
      </c>
      <c r="E46" t="s">
        <v>192</v>
      </c>
      <c r="F46" s="23">
        <v>44039</v>
      </c>
      <c r="G46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47" spans="1:7" x14ac:dyDescent="0.25">
      <c r="A47" t="s">
        <v>5</v>
      </c>
      <c r="C47" t="s">
        <v>53</v>
      </c>
      <c r="D47">
        <v>202</v>
      </c>
      <c r="E47" t="s">
        <v>192</v>
      </c>
      <c r="F47" s="24">
        <v>44039</v>
      </c>
      <c r="G4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48" spans="1:7" x14ac:dyDescent="0.25">
      <c r="A48" t="s">
        <v>5</v>
      </c>
      <c r="C48" t="s">
        <v>53</v>
      </c>
      <c r="D48">
        <v>184</v>
      </c>
      <c r="E48" t="s">
        <v>192</v>
      </c>
      <c r="F48" s="24">
        <v>44039</v>
      </c>
      <c r="G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49" spans="1:7" x14ac:dyDescent="0.25">
      <c r="A49" t="s">
        <v>5</v>
      </c>
      <c r="C49" t="s">
        <v>53</v>
      </c>
      <c r="D49" s="84">
        <v>102</v>
      </c>
      <c r="E49" t="s">
        <v>192</v>
      </c>
      <c r="F49" s="23">
        <v>44039</v>
      </c>
      <c r="G49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50" spans="1:7" x14ac:dyDescent="0.25">
      <c r="A50" t="s">
        <v>5</v>
      </c>
      <c r="C50" t="s">
        <v>53</v>
      </c>
      <c r="D50">
        <v>194</v>
      </c>
      <c r="E50" t="s">
        <v>192</v>
      </c>
      <c r="F50" s="24">
        <v>44039</v>
      </c>
      <c r="G50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51" spans="1:7" x14ac:dyDescent="0.25">
      <c r="A51" t="s">
        <v>4</v>
      </c>
      <c r="C51" t="s">
        <v>53</v>
      </c>
      <c r="D51">
        <v>556</v>
      </c>
      <c r="E51" t="s">
        <v>192</v>
      </c>
      <c r="F51" s="24">
        <v>44039</v>
      </c>
      <c r="G51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52" spans="1:7" x14ac:dyDescent="0.25">
      <c r="A52" t="s">
        <v>4</v>
      </c>
      <c r="C52" t="s">
        <v>53</v>
      </c>
      <c r="D52">
        <v>537</v>
      </c>
      <c r="E52" t="s">
        <v>192</v>
      </c>
      <c r="F52" s="23">
        <v>44039</v>
      </c>
      <c r="G52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53" spans="1:7" x14ac:dyDescent="0.25">
      <c r="A53" t="s">
        <v>4</v>
      </c>
      <c r="C53" t="s">
        <v>53</v>
      </c>
      <c r="D53">
        <v>402</v>
      </c>
      <c r="E53" t="s">
        <v>192</v>
      </c>
      <c r="F53" s="24">
        <v>44039</v>
      </c>
      <c r="G53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54" spans="1:7" x14ac:dyDescent="0.25">
      <c r="A54" t="s">
        <v>4</v>
      </c>
      <c r="C54" t="s">
        <v>53</v>
      </c>
      <c r="D54">
        <v>237</v>
      </c>
      <c r="E54" t="s">
        <v>192</v>
      </c>
      <c r="F54" s="23">
        <v>44039</v>
      </c>
      <c r="G54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55" spans="1:7" x14ac:dyDescent="0.25">
      <c r="A55" t="s">
        <v>4</v>
      </c>
      <c r="C55" t="s">
        <v>53</v>
      </c>
      <c r="D55">
        <v>332</v>
      </c>
      <c r="E55" t="s">
        <v>192</v>
      </c>
      <c r="F55" s="24">
        <v>44039</v>
      </c>
      <c r="G55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56" spans="1:7" x14ac:dyDescent="0.25">
      <c r="A56" t="s">
        <v>4</v>
      </c>
      <c r="C56" t="s">
        <v>53</v>
      </c>
      <c r="D56">
        <v>221</v>
      </c>
      <c r="E56" t="s">
        <v>192</v>
      </c>
      <c r="F56" s="23">
        <v>44039</v>
      </c>
      <c r="G56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57" spans="1:7" x14ac:dyDescent="0.25">
      <c r="A57" t="s">
        <v>4</v>
      </c>
      <c r="C57" t="s">
        <v>53</v>
      </c>
      <c r="D57">
        <v>364</v>
      </c>
      <c r="E57" t="s">
        <v>192</v>
      </c>
      <c r="F57" s="24">
        <v>44039</v>
      </c>
      <c r="G5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58" spans="1:7" x14ac:dyDescent="0.25">
      <c r="A58" t="s">
        <v>4</v>
      </c>
      <c r="C58" t="s">
        <v>53</v>
      </c>
      <c r="D58">
        <v>349</v>
      </c>
      <c r="E58" t="s">
        <v>192</v>
      </c>
      <c r="F58" s="23">
        <v>44039</v>
      </c>
      <c r="G5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59" spans="1:7" x14ac:dyDescent="0.25">
      <c r="A59" t="s">
        <v>4</v>
      </c>
      <c r="C59" t="s">
        <v>53</v>
      </c>
      <c r="D59">
        <v>482</v>
      </c>
      <c r="E59" t="s">
        <v>192</v>
      </c>
      <c r="F59" s="24">
        <v>44039</v>
      </c>
      <c r="G59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60" spans="1:7" x14ac:dyDescent="0.25">
      <c r="A60" t="s">
        <v>4</v>
      </c>
      <c r="C60" t="s">
        <v>53</v>
      </c>
      <c r="D60">
        <v>292</v>
      </c>
      <c r="E60" t="s">
        <v>192</v>
      </c>
      <c r="F60" s="23">
        <v>44039</v>
      </c>
      <c r="G60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61" spans="1:7" x14ac:dyDescent="0.25">
      <c r="A61" t="s">
        <v>4</v>
      </c>
      <c r="C61" t="s">
        <v>53</v>
      </c>
      <c r="D61">
        <v>494</v>
      </c>
      <c r="E61" t="s">
        <v>192</v>
      </c>
      <c r="F61" s="24">
        <v>44039</v>
      </c>
      <c r="G61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62" spans="1:7" x14ac:dyDescent="0.25">
      <c r="A62" t="s">
        <v>4</v>
      </c>
      <c r="C62" t="s">
        <v>53</v>
      </c>
      <c r="D62">
        <v>318</v>
      </c>
      <c r="E62" t="s">
        <v>192</v>
      </c>
      <c r="F62" s="23">
        <v>44039</v>
      </c>
      <c r="G62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63" spans="1:7" x14ac:dyDescent="0.25">
      <c r="A63" t="s">
        <v>4</v>
      </c>
      <c r="C63" t="s">
        <v>53</v>
      </c>
      <c r="D63">
        <v>330</v>
      </c>
      <c r="E63" t="s">
        <v>192</v>
      </c>
      <c r="F63" s="24">
        <v>44039</v>
      </c>
      <c r="G63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64" spans="1:7" x14ac:dyDescent="0.25">
      <c r="A64" t="s">
        <v>4</v>
      </c>
      <c r="C64" t="s">
        <v>53</v>
      </c>
      <c r="D64">
        <v>210</v>
      </c>
      <c r="E64" t="s">
        <v>192</v>
      </c>
      <c r="F64" s="24">
        <v>44039</v>
      </c>
      <c r="G64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65" spans="1:7" x14ac:dyDescent="0.25">
      <c r="A65" t="s">
        <v>4</v>
      </c>
      <c r="C65" t="s">
        <v>53</v>
      </c>
      <c r="D65">
        <v>319</v>
      </c>
      <c r="E65" t="s">
        <v>192</v>
      </c>
      <c r="F65" s="23">
        <v>44039</v>
      </c>
      <c r="G65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66" spans="1:7" x14ac:dyDescent="0.25">
      <c r="A66" t="s">
        <v>4</v>
      </c>
      <c r="C66" t="s">
        <v>53</v>
      </c>
      <c r="D66">
        <v>373</v>
      </c>
      <c r="E66" t="s">
        <v>192</v>
      </c>
      <c r="F66" s="24">
        <v>44039</v>
      </c>
      <c r="G66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67" spans="1:7" x14ac:dyDescent="0.25">
      <c r="A67" t="s">
        <v>4</v>
      </c>
      <c r="C67" t="s">
        <v>53</v>
      </c>
      <c r="D67">
        <v>343</v>
      </c>
      <c r="E67" t="s">
        <v>192</v>
      </c>
      <c r="F67" s="24">
        <v>44039</v>
      </c>
      <c r="G6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68" spans="1:7" x14ac:dyDescent="0.25">
      <c r="A68" t="s">
        <v>4</v>
      </c>
      <c r="C68" t="s">
        <v>53</v>
      </c>
      <c r="D68">
        <v>335</v>
      </c>
      <c r="E68" t="s">
        <v>192</v>
      </c>
      <c r="F68" s="23">
        <v>44039</v>
      </c>
      <c r="G6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69" spans="1:7" x14ac:dyDescent="0.25">
      <c r="A69" t="s">
        <v>4</v>
      </c>
      <c r="C69" t="s">
        <v>53</v>
      </c>
      <c r="D69">
        <v>344</v>
      </c>
      <c r="E69" t="s">
        <v>192</v>
      </c>
      <c r="F69" s="24">
        <v>44039</v>
      </c>
      <c r="G69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70" spans="1:7" x14ac:dyDescent="0.25">
      <c r="A70" t="s">
        <v>4</v>
      </c>
      <c r="C70" t="s">
        <v>53</v>
      </c>
      <c r="D70">
        <v>221</v>
      </c>
      <c r="E70" t="s">
        <v>192</v>
      </c>
      <c r="F70" s="24">
        <v>44039</v>
      </c>
      <c r="G70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71" spans="1:7" x14ac:dyDescent="0.25">
      <c r="A71" t="s">
        <v>4</v>
      </c>
      <c r="C71" t="s">
        <v>53</v>
      </c>
      <c r="D71">
        <v>410</v>
      </c>
      <c r="E71" t="s">
        <v>192</v>
      </c>
      <c r="F71" s="23">
        <v>44039</v>
      </c>
      <c r="G71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72" spans="1:7" x14ac:dyDescent="0.25">
      <c r="A72" t="s">
        <v>4</v>
      </c>
      <c r="C72" t="s">
        <v>53</v>
      </c>
      <c r="D72">
        <v>410</v>
      </c>
      <c r="E72" t="s">
        <v>192</v>
      </c>
      <c r="F72" s="24">
        <v>44039</v>
      </c>
      <c r="G72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73" spans="1:7" x14ac:dyDescent="0.25">
      <c r="A73" t="s">
        <v>4</v>
      </c>
      <c r="C73" t="s">
        <v>53</v>
      </c>
      <c r="D73">
        <v>860</v>
      </c>
      <c r="E73" t="s">
        <v>192</v>
      </c>
      <c r="F73" s="24">
        <v>44039</v>
      </c>
      <c r="G73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74" spans="1:7" x14ac:dyDescent="0.25">
      <c r="A74" t="s">
        <v>4</v>
      </c>
      <c r="C74" t="s">
        <v>53</v>
      </c>
      <c r="D74">
        <v>860</v>
      </c>
      <c r="E74" t="s">
        <v>192</v>
      </c>
      <c r="F74" s="23">
        <v>44039</v>
      </c>
      <c r="G74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75" spans="1:7" x14ac:dyDescent="0.25">
      <c r="A75" t="s">
        <v>4</v>
      </c>
      <c r="C75" t="s">
        <v>53</v>
      </c>
      <c r="D75">
        <v>690</v>
      </c>
      <c r="E75" t="s">
        <v>192</v>
      </c>
      <c r="F75" s="24">
        <v>44039</v>
      </c>
      <c r="G75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76" spans="1:7" x14ac:dyDescent="0.25">
      <c r="A76" t="s">
        <v>4</v>
      </c>
      <c r="B76" t="s">
        <v>68</v>
      </c>
      <c r="C76" t="s">
        <v>53</v>
      </c>
      <c r="D76">
        <v>758</v>
      </c>
      <c r="E76" t="s">
        <v>192</v>
      </c>
      <c r="F76" s="24">
        <v>44039</v>
      </c>
      <c r="G76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77" spans="1:7" x14ac:dyDescent="0.25">
      <c r="A77" t="s">
        <v>4</v>
      </c>
      <c r="B77" t="s">
        <v>68</v>
      </c>
      <c r="C77" t="s">
        <v>53</v>
      </c>
      <c r="D77">
        <v>860</v>
      </c>
      <c r="E77" t="s">
        <v>192</v>
      </c>
      <c r="F77" s="24">
        <v>44039</v>
      </c>
      <c r="G7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78" spans="1:7" x14ac:dyDescent="0.25">
      <c r="A78" t="s">
        <v>4</v>
      </c>
      <c r="B78" t="s">
        <v>68</v>
      </c>
      <c r="C78" t="s">
        <v>53</v>
      </c>
      <c r="D78">
        <v>690</v>
      </c>
      <c r="E78" t="s">
        <v>192</v>
      </c>
      <c r="F78" s="23">
        <v>44039</v>
      </c>
      <c r="G7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79" spans="1:7" x14ac:dyDescent="0.25">
      <c r="A79" t="s">
        <v>24</v>
      </c>
      <c r="C79" t="s">
        <v>53</v>
      </c>
      <c r="D79">
        <v>660</v>
      </c>
      <c r="E79" t="s">
        <v>192</v>
      </c>
      <c r="F79" s="24">
        <v>44039</v>
      </c>
      <c r="G79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80" spans="1:7" x14ac:dyDescent="0.25">
      <c r="A80" t="s">
        <v>9</v>
      </c>
      <c r="C80" t="s">
        <v>46</v>
      </c>
      <c r="D80">
        <v>380</v>
      </c>
      <c r="E80" t="s">
        <v>192</v>
      </c>
      <c r="F80" s="23">
        <v>44039</v>
      </c>
      <c r="G80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81" spans="1:7" x14ac:dyDescent="0.25">
      <c r="A81" t="s">
        <v>9</v>
      </c>
      <c r="C81" t="s">
        <v>46</v>
      </c>
      <c r="D81">
        <v>669</v>
      </c>
      <c r="E81" t="s">
        <v>192</v>
      </c>
      <c r="F81" s="23">
        <v>44039</v>
      </c>
      <c r="G81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82" spans="1:7" x14ac:dyDescent="0.25">
      <c r="A82" t="s">
        <v>9</v>
      </c>
      <c r="C82" t="s">
        <v>46</v>
      </c>
      <c r="D82">
        <v>589</v>
      </c>
      <c r="E82" t="s">
        <v>192</v>
      </c>
      <c r="F82" s="23">
        <v>44039</v>
      </c>
      <c r="G82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83" spans="1:7" x14ac:dyDescent="0.25">
      <c r="A83" t="s">
        <v>92</v>
      </c>
      <c r="B83" t="s">
        <v>93</v>
      </c>
      <c r="C83" t="s">
        <v>53</v>
      </c>
      <c r="D83">
        <v>15</v>
      </c>
      <c r="E83" t="s">
        <v>192</v>
      </c>
      <c r="F83" s="24">
        <v>44039</v>
      </c>
      <c r="G83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84" spans="1:7" x14ac:dyDescent="0.25">
      <c r="A84" t="s">
        <v>56</v>
      </c>
      <c r="B84" t="s">
        <v>57</v>
      </c>
      <c r="C84" t="s">
        <v>53</v>
      </c>
      <c r="D84">
        <v>25</v>
      </c>
      <c r="E84" t="s">
        <v>192</v>
      </c>
      <c r="F84" s="24">
        <v>44039</v>
      </c>
      <c r="G84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85" spans="1:7" x14ac:dyDescent="0.25">
      <c r="A85" t="s">
        <v>21</v>
      </c>
      <c r="B85" t="s">
        <v>67</v>
      </c>
      <c r="C85" t="s">
        <v>53</v>
      </c>
      <c r="D85">
        <v>17</v>
      </c>
      <c r="E85" t="s">
        <v>192</v>
      </c>
      <c r="F85" s="23">
        <v>44040</v>
      </c>
      <c r="G85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86" spans="1:7" x14ac:dyDescent="0.25">
      <c r="A86" t="s">
        <v>14</v>
      </c>
      <c r="B86" t="s">
        <v>63</v>
      </c>
      <c r="C86" t="s">
        <v>53</v>
      </c>
      <c r="D86">
        <v>719</v>
      </c>
      <c r="E86" t="s">
        <v>192</v>
      </c>
      <c r="F86" s="24">
        <v>44041</v>
      </c>
      <c r="G86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87" spans="1:7" x14ac:dyDescent="0.25">
      <c r="A87" t="s">
        <v>14</v>
      </c>
      <c r="B87" t="s">
        <v>63</v>
      </c>
      <c r="C87" t="s">
        <v>53</v>
      </c>
      <c r="D87">
        <v>780</v>
      </c>
      <c r="E87" t="s">
        <v>192</v>
      </c>
      <c r="F87" s="24">
        <v>44041</v>
      </c>
      <c r="G87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88" spans="1:7" x14ac:dyDescent="0.25">
      <c r="A88" t="s">
        <v>64</v>
      </c>
      <c r="C88" t="s">
        <v>53</v>
      </c>
      <c r="D88">
        <v>910</v>
      </c>
      <c r="E88" t="s">
        <v>192</v>
      </c>
      <c r="F88" s="24">
        <v>44041</v>
      </c>
      <c r="G8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89" spans="1:7" x14ac:dyDescent="0.25">
      <c r="A89" t="s">
        <v>21</v>
      </c>
      <c r="B89" t="s">
        <v>66</v>
      </c>
      <c r="C89" t="s">
        <v>53</v>
      </c>
      <c r="D89">
        <v>23</v>
      </c>
      <c r="E89" t="s">
        <v>192</v>
      </c>
      <c r="F89" s="24">
        <v>44041</v>
      </c>
      <c r="G89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90" spans="1:7" x14ac:dyDescent="0.25">
      <c r="A90" t="s">
        <v>21</v>
      </c>
      <c r="B90" t="s">
        <v>66</v>
      </c>
      <c r="C90" t="s">
        <v>53</v>
      </c>
      <c r="D90">
        <v>26</v>
      </c>
      <c r="E90" t="s">
        <v>192</v>
      </c>
      <c r="F90" s="24">
        <v>44041</v>
      </c>
      <c r="G90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91" spans="1:7" x14ac:dyDescent="0.25">
      <c r="A91" t="s">
        <v>2</v>
      </c>
      <c r="B91" t="s">
        <v>63</v>
      </c>
      <c r="C91" t="s">
        <v>53</v>
      </c>
      <c r="D91">
        <v>1170</v>
      </c>
      <c r="E91" t="s">
        <v>192</v>
      </c>
      <c r="F91" s="24">
        <v>44041</v>
      </c>
      <c r="G91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92" spans="1:7" x14ac:dyDescent="0.25">
      <c r="A92" t="s">
        <v>26</v>
      </c>
      <c r="B92" t="s">
        <v>63</v>
      </c>
      <c r="C92" t="s">
        <v>53</v>
      </c>
      <c r="D92">
        <v>282</v>
      </c>
      <c r="E92" t="s">
        <v>192</v>
      </c>
      <c r="F92" s="23">
        <v>44041</v>
      </c>
      <c r="G92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93" spans="1:7" x14ac:dyDescent="0.25">
      <c r="A93" t="s">
        <v>18</v>
      </c>
      <c r="B93" t="s">
        <v>63</v>
      </c>
      <c r="C93" t="s">
        <v>53</v>
      </c>
      <c r="D93">
        <v>210</v>
      </c>
      <c r="E93" t="s">
        <v>192</v>
      </c>
      <c r="F93" s="23">
        <v>44041</v>
      </c>
      <c r="G93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94" spans="1:7" x14ac:dyDescent="0.25">
      <c r="A94" t="s">
        <v>18</v>
      </c>
      <c r="B94" t="s">
        <v>63</v>
      </c>
      <c r="C94" t="s">
        <v>53</v>
      </c>
      <c r="D94">
        <v>206</v>
      </c>
      <c r="E94" t="s">
        <v>192</v>
      </c>
      <c r="F94" s="24">
        <v>44041</v>
      </c>
      <c r="G94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95" spans="1:7" x14ac:dyDescent="0.25">
      <c r="A95" t="s">
        <v>13</v>
      </c>
      <c r="C95" t="s">
        <v>53</v>
      </c>
      <c r="D95" s="85">
        <v>129</v>
      </c>
      <c r="E95" t="s">
        <v>192</v>
      </c>
      <c r="F95" s="24">
        <v>44042</v>
      </c>
      <c r="G95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96" spans="1:7" x14ac:dyDescent="0.25">
      <c r="A96" t="s">
        <v>21</v>
      </c>
      <c r="B96" t="s">
        <v>66</v>
      </c>
      <c r="C96" t="s">
        <v>53</v>
      </c>
      <c r="D96">
        <v>19</v>
      </c>
      <c r="E96" t="s">
        <v>192</v>
      </c>
      <c r="F96" s="24">
        <v>44042</v>
      </c>
      <c r="G96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97" spans="1:7" x14ac:dyDescent="0.25">
      <c r="A97" t="s">
        <v>21</v>
      </c>
      <c r="B97" t="s">
        <v>66</v>
      </c>
      <c r="C97" t="s">
        <v>53</v>
      </c>
      <c r="D97">
        <v>27</v>
      </c>
      <c r="E97" t="s">
        <v>192</v>
      </c>
      <c r="F97" s="23">
        <v>44042</v>
      </c>
      <c r="G9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98" spans="1:7" x14ac:dyDescent="0.25">
      <c r="A98" t="s">
        <v>0</v>
      </c>
      <c r="B98" t="s">
        <v>62</v>
      </c>
      <c r="C98" t="s">
        <v>53</v>
      </c>
      <c r="D98">
        <v>726</v>
      </c>
      <c r="E98" t="s">
        <v>192</v>
      </c>
      <c r="F98" s="24">
        <v>44042</v>
      </c>
      <c r="G9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99" spans="1:7" x14ac:dyDescent="0.25">
      <c r="A99" t="s">
        <v>72</v>
      </c>
      <c r="B99" t="s">
        <v>75</v>
      </c>
      <c r="C99" t="s">
        <v>77</v>
      </c>
      <c r="D99">
        <v>237</v>
      </c>
      <c r="E99" t="s">
        <v>192</v>
      </c>
      <c r="F99" s="24">
        <v>44047</v>
      </c>
      <c r="G99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00" spans="1:7" x14ac:dyDescent="0.25">
      <c r="A100" t="s">
        <v>72</v>
      </c>
      <c r="B100" t="s">
        <v>75</v>
      </c>
      <c r="C100" t="s">
        <v>77</v>
      </c>
      <c r="D100">
        <v>360</v>
      </c>
      <c r="E100" t="s">
        <v>192</v>
      </c>
      <c r="F100" s="24">
        <v>44047</v>
      </c>
      <c r="G100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01" spans="1:7" x14ac:dyDescent="0.25">
      <c r="A101" t="s">
        <v>71</v>
      </c>
      <c r="C101" t="s">
        <v>53</v>
      </c>
      <c r="D101">
        <v>272</v>
      </c>
      <c r="E101" t="s">
        <v>192</v>
      </c>
      <c r="F101" s="24">
        <v>44047</v>
      </c>
      <c r="G101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02" spans="1:7" x14ac:dyDescent="0.25">
      <c r="A102" t="s">
        <v>5</v>
      </c>
      <c r="C102" t="s">
        <v>53</v>
      </c>
      <c r="D102">
        <v>119</v>
      </c>
      <c r="E102" t="s">
        <v>192</v>
      </c>
      <c r="F102" s="23">
        <v>44047</v>
      </c>
      <c r="G102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03" spans="1:7" x14ac:dyDescent="0.25">
      <c r="A103" t="s">
        <v>13</v>
      </c>
      <c r="B103" t="s">
        <v>76</v>
      </c>
      <c r="C103" t="s">
        <v>53</v>
      </c>
      <c r="D103" s="85">
        <v>890</v>
      </c>
      <c r="E103" t="s">
        <v>192</v>
      </c>
      <c r="F103" s="24">
        <v>44048</v>
      </c>
      <c r="G103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04" spans="1:7" x14ac:dyDescent="0.25">
      <c r="A104" t="s">
        <v>168</v>
      </c>
      <c r="B104" t="s">
        <v>206</v>
      </c>
      <c r="C104" t="s">
        <v>53</v>
      </c>
      <c r="D104">
        <v>1669</v>
      </c>
      <c r="E104" t="s">
        <v>192</v>
      </c>
      <c r="F104" s="24">
        <v>44062</v>
      </c>
      <c r="G104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05" spans="1:7" x14ac:dyDescent="0.25">
      <c r="A105" t="s">
        <v>168</v>
      </c>
      <c r="B105" t="s">
        <v>206</v>
      </c>
      <c r="C105" t="s">
        <v>53</v>
      </c>
      <c r="D105">
        <v>1419</v>
      </c>
      <c r="E105" t="s">
        <v>192</v>
      </c>
      <c r="F105" s="24">
        <v>44062</v>
      </c>
      <c r="G105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06" spans="1:7" x14ac:dyDescent="0.25">
      <c r="A106" t="s">
        <v>92</v>
      </c>
      <c r="B106" t="s">
        <v>94</v>
      </c>
      <c r="C106" t="s">
        <v>53</v>
      </c>
      <c r="D106">
        <v>241</v>
      </c>
      <c r="E106" t="s">
        <v>192</v>
      </c>
      <c r="F106" s="24">
        <v>44063</v>
      </c>
      <c r="G106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07" spans="1:7" x14ac:dyDescent="0.25">
      <c r="A107" t="s">
        <v>92</v>
      </c>
      <c r="B107" t="s">
        <v>94</v>
      </c>
      <c r="C107" t="s">
        <v>53</v>
      </c>
      <c r="D107">
        <v>198</v>
      </c>
      <c r="E107" t="s">
        <v>192</v>
      </c>
      <c r="F107" s="24">
        <v>44063</v>
      </c>
      <c r="G10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08" spans="1:7" x14ac:dyDescent="0.25">
      <c r="A108" t="s">
        <v>92</v>
      </c>
      <c r="B108" t="s">
        <v>94</v>
      </c>
      <c r="C108" t="s">
        <v>53</v>
      </c>
      <c r="D108">
        <v>184</v>
      </c>
      <c r="E108" t="s">
        <v>192</v>
      </c>
      <c r="F108" s="24">
        <v>44063</v>
      </c>
      <c r="G10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09" spans="1:7" x14ac:dyDescent="0.25">
      <c r="A109" t="s">
        <v>50</v>
      </c>
      <c r="C109" t="s">
        <v>53</v>
      </c>
      <c r="D109">
        <v>929</v>
      </c>
      <c r="E109" t="s">
        <v>192</v>
      </c>
      <c r="F109" s="24">
        <v>44068</v>
      </c>
      <c r="G109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10" spans="1:7" x14ac:dyDescent="0.25">
      <c r="A110" t="s">
        <v>50</v>
      </c>
      <c r="C110" t="s">
        <v>53</v>
      </c>
      <c r="D110">
        <v>1385</v>
      </c>
      <c r="E110" t="s">
        <v>192</v>
      </c>
      <c r="F110" s="24">
        <v>44068</v>
      </c>
      <c r="G11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11" spans="1:7" x14ac:dyDescent="0.25">
      <c r="A111" t="s">
        <v>50</v>
      </c>
      <c r="C111" t="s">
        <v>53</v>
      </c>
      <c r="D111">
        <v>1002</v>
      </c>
      <c r="E111" t="s">
        <v>192</v>
      </c>
      <c r="F111" s="24">
        <v>44068</v>
      </c>
      <c r="G111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12" spans="1:7" x14ac:dyDescent="0.25">
      <c r="A112" t="s">
        <v>50</v>
      </c>
      <c r="C112" t="s">
        <v>53</v>
      </c>
      <c r="D112">
        <v>929</v>
      </c>
      <c r="E112" t="s">
        <v>192</v>
      </c>
      <c r="F112" s="24">
        <v>44068</v>
      </c>
      <c r="G112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13" spans="1:7" x14ac:dyDescent="0.25">
      <c r="A113" t="s">
        <v>50</v>
      </c>
      <c r="C113" t="s">
        <v>53</v>
      </c>
      <c r="D113">
        <v>925</v>
      </c>
      <c r="E113" t="s">
        <v>192</v>
      </c>
      <c r="F113" s="24">
        <v>44068</v>
      </c>
      <c r="G113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14" spans="1:7" x14ac:dyDescent="0.25">
      <c r="A114" t="s">
        <v>50</v>
      </c>
      <c r="C114" t="s">
        <v>53</v>
      </c>
      <c r="D114">
        <v>1</v>
      </c>
      <c r="E114" t="s">
        <v>192</v>
      </c>
      <c r="F114" s="24">
        <v>44068</v>
      </c>
      <c r="G11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15" spans="1:7" x14ac:dyDescent="0.25">
      <c r="A115" t="s">
        <v>50</v>
      </c>
      <c r="C115" t="s">
        <v>53</v>
      </c>
      <c r="D115">
        <v>882</v>
      </c>
      <c r="E115" t="s">
        <v>192</v>
      </c>
      <c r="F115" s="24">
        <v>44068</v>
      </c>
      <c r="G115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16" spans="1:7" x14ac:dyDescent="0.25">
      <c r="A116" t="s">
        <v>50</v>
      </c>
      <c r="C116" t="s">
        <v>53</v>
      </c>
      <c r="D116">
        <v>1402</v>
      </c>
      <c r="E116" t="s">
        <v>192</v>
      </c>
      <c r="F116" s="24">
        <v>44068</v>
      </c>
      <c r="G116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17" spans="1:7" x14ac:dyDescent="0.25">
      <c r="A117" t="s">
        <v>50</v>
      </c>
      <c r="C117" t="s">
        <v>53</v>
      </c>
      <c r="D117">
        <v>966</v>
      </c>
      <c r="E117" t="s">
        <v>192</v>
      </c>
      <c r="F117" s="24">
        <v>44068</v>
      </c>
      <c r="G117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18" spans="1:7" x14ac:dyDescent="0.25">
      <c r="A118" t="s">
        <v>4</v>
      </c>
      <c r="C118" t="s">
        <v>53</v>
      </c>
      <c r="D118">
        <v>100</v>
      </c>
      <c r="E118" t="s">
        <v>192</v>
      </c>
      <c r="F118" s="24">
        <v>44133</v>
      </c>
      <c r="G118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119" spans="1:7" x14ac:dyDescent="0.25">
      <c r="A119" t="s">
        <v>0</v>
      </c>
      <c r="C119" t="s">
        <v>53</v>
      </c>
      <c r="D119">
        <v>92</v>
      </c>
      <c r="E119" t="s">
        <v>192</v>
      </c>
      <c r="F119" s="24">
        <v>44068</v>
      </c>
      <c r="G119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20" spans="1:7" x14ac:dyDescent="0.25">
      <c r="A120" t="s">
        <v>0</v>
      </c>
      <c r="B120" t="s">
        <v>41</v>
      </c>
      <c r="C120" t="s">
        <v>49</v>
      </c>
      <c r="D120">
        <v>567</v>
      </c>
      <c r="E120" t="s">
        <v>192</v>
      </c>
      <c r="F120" s="24">
        <v>44068</v>
      </c>
      <c r="G12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21" spans="1:7" x14ac:dyDescent="0.25">
      <c r="A121" t="s">
        <v>0</v>
      </c>
      <c r="B121" t="s">
        <v>41</v>
      </c>
      <c r="C121" t="s">
        <v>49</v>
      </c>
      <c r="D121">
        <v>905</v>
      </c>
      <c r="E121" t="s">
        <v>192</v>
      </c>
      <c r="F121" s="24">
        <v>44068</v>
      </c>
      <c r="G121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22" spans="1:7" x14ac:dyDescent="0.25">
      <c r="A122" t="s">
        <v>0</v>
      </c>
      <c r="B122" t="s">
        <v>41</v>
      </c>
      <c r="C122" t="s">
        <v>49</v>
      </c>
      <c r="D122">
        <v>1152</v>
      </c>
      <c r="E122" t="s">
        <v>192</v>
      </c>
      <c r="F122" s="24">
        <v>44068</v>
      </c>
      <c r="G122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23" spans="1:7" x14ac:dyDescent="0.25">
      <c r="A123" t="s">
        <v>0</v>
      </c>
      <c r="B123" t="s">
        <v>41</v>
      </c>
      <c r="C123" t="s">
        <v>49</v>
      </c>
      <c r="D123">
        <v>1103</v>
      </c>
      <c r="E123" t="s">
        <v>192</v>
      </c>
      <c r="F123" s="24">
        <v>44068</v>
      </c>
      <c r="G123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24" spans="1:7" x14ac:dyDescent="0.25">
      <c r="A124" t="s">
        <v>60</v>
      </c>
      <c r="C124" t="s">
        <v>53</v>
      </c>
      <c r="D124">
        <f>91+91+93</f>
        <v>275</v>
      </c>
      <c r="E124" t="s">
        <v>192</v>
      </c>
      <c r="F124" s="24">
        <v>44068</v>
      </c>
      <c r="G12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25" spans="1:7" x14ac:dyDescent="0.25">
      <c r="A125" t="s">
        <v>5</v>
      </c>
      <c r="C125" t="s">
        <v>53</v>
      </c>
      <c r="D125">
        <v>316</v>
      </c>
      <c r="E125" t="s">
        <v>192</v>
      </c>
      <c r="F125" s="24">
        <v>44068</v>
      </c>
      <c r="G125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26" spans="1:7" x14ac:dyDescent="0.25">
      <c r="A126" t="s">
        <v>5</v>
      </c>
      <c r="C126" t="s">
        <v>53</v>
      </c>
      <c r="D126">
        <v>104</v>
      </c>
      <c r="E126" t="s">
        <v>192</v>
      </c>
      <c r="F126" s="24">
        <v>44068</v>
      </c>
      <c r="G126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27" spans="1:7" x14ac:dyDescent="0.25">
      <c r="A127" t="s">
        <v>5</v>
      </c>
      <c r="C127" t="s">
        <v>53</v>
      </c>
      <c r="D127">
        <v>169</v>
      </c>
      <c r="E127" t="s">
        <v>192</v>
      </c>
      <c r="F127" s="24">
        <v>44068</v>
      </c>
      <c r="G127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28" spans="1:7" x14ac:dyDescent="0.25">
      <c r="A128" t="s">
        <v>5</v>
      </c>
      <c r="C128" t="s">
        <v>53</v>
      </c>
      <c r="D128">
        <v>174</v>
      </c>
      <c r="E128" t="s">
        <v>192</v>
      </c>
      <c r="F128" s="24">
        <v>44068</v>
      </c>
      <c r="G128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29" spans="1:7" x14ac:dyDescent="0.25">
      <c r="A129" t="s">
        <v>5</v>
      </c>
      <c r="C129" t="s">
        <v>53</v>
      </c>
      <c r="D129">
        <v>236</v>
      </c>
      <c r="E129" t="s">
        <v>192</v>
      </c>
      <c r="F129" s="24">
        <v>44068</v>
      </c>
      <c r="G129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30" spans="1:7" x14ac:dyDescent="0.25">
      <c r="A130" t="s">
        <v>5</v>
      </c>
      <c r="C130" t="s">
        <v>53</v>
      </c>
      <c r="D130">
        <v>174</v>
      </c>
      <c r="E130" t="s">
        <v>192</v>
      </c>
      <c r="F130" s="24">
        <v>44068</v>
      </c>
      <c r="G13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31" spans="1:7" x14ac:dyDescent="0.25">
      <c r="A131" t="s">
        <v>1</v>
      </c>
      <c r="C131" t="s">
        <v>53</v>
      </c>
      <c r="D131">
        <v>328</v>
      </c>
      <c r="E131" t="s">
        <v>192</v>
      </c>
      <c r="F131" s="23">
        <v>44070</v>
      </c>
      <c r="G131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32" spans="1:7" x14ac:dyDescent="0.25">
      <c r="A132" t="s">
        <v>4</v>
      </c>
      <c r="C132" t="s">
        <v>53</v>
      </c>
      <c r="D132">
        <v>219</v>
      </c>
      <c r="E132" t="s">
        <v>192</v>
      </c>
      <c r="F132" s="24">
        <v>44137</v>
      </c>
      <c r="G132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133" spans="1:7" x14ac:dyDescent="0.25">
      <c r="A133" t="s">
        <v>4</v>
      </c>
      <c r="C133" t="s">
        <v>53</v>
      </c>
      <c r="D133">
        <v>310</v>
      </c>
      <c r="E133" t="s">
        <v>192</v>
      </c>
      <c r="F133" s="24">
        <v>44137</v>
      </c>
      <c r="G133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134" spans="1:7" x14ac:dyDescent="0.25">
      <c r="A134" t="s">
        <v>5</v>
      </c>
      <c r="B134" t="s">
        <v>247</v>
      </c>
      <c r="C134" t="s">
        <v>53</v>
      </c>
      <c r="D134">
        <v>217</v>
      </c>
      <c r="E134" t="s">
        <v>192</v>
      </c>
      <c r="F134" s="24">
        <v>44133</v>
      </c>
      <c r="G13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135" spans="1:7" x14ac:dyDescent="0.25">
      <c r="A135" t="s">
        <v>90</v>
      </c>
      <c r="B135" t="s">
        <v>63</v>
      </c>
      <c r="C135" t="s">
        <v>53</v>
      </c>
      <c r="D135">
        <v>673</v>
      </c>
      <c r="E135" t="s">
        <v>192</v>
      </c>
      <c r="F135" s="24">
        <v>44071</v>
      </c>
      <c r="G135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36" spans="1:7" x14ac:dyDescent="0.25">
      <c r="A136" t="s">
        <v>26</v>
      </c>
      <c r="B136" t="s">
        <v>63</v>
      </c>
      <c r="C136" t="s">
        <v>53</v>
      </c>
      <c r="D136">
        <v>997</v>
      </c>
      <c r="E136" t="s">
        <v>192</v>
      </c>
      <c r="F136" s="23">
        <v>44071</v>
      </c>
      <c r="G136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37" spans="1:7" x14ac:dyDescent="0.25">
      <c r="A137" t="s">
        <v>1</v>
      </c>
      <c r="C137" t="s">
        <v>53</v>
      </c>
      <c r="D137">
        <v>1</v>
      </c>
      <c r="E137" t="s">
        <v>192</v>
      </c>
      <c r="F137" s="24">
        <v>44072</v>
      </c>
      <c r="G13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38" spans="1:7" x14ac:dyDescent="0.25">
      <c r="A138" t="s">
        <v>1</v>
      </c>
      <c r="C138" t="s">
        <v>53</v>
      </c>
      <c r="D138">
        <v>1</v>
      </c>
      <c r="E138" t="s">
        <v>192</v>
      </c>
      <c r="F138" s="24">
        <v>44072</v>
      </c>
      <c r="G138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39" spans="1:7" x14ac:dyDescent="0.25">
      <c r="A139" t="s">
        <v>21</v>
      </c>
      <c r="B139" t="s">
        <v>53</v>
      </c>
      <c r="C139" t="s">
        <v>53</v>
      </c>
      <c r="D139">
        <v>15</v>
      </c>
      <c r="E139" t="s">
        <v>192</v>
      </c>
      <c r="F139" s="24">
        <v>44074</v>
      </c>
      <c r="G139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40" spans="1:7" x14ac:dyDescent="0.25">
      <c r="A140" t="s">
        <v>21</v>
      </c>
      <c r="B140" t="s">
        <v>53</v>
      </c>
      <c r="C140" t="s">
        <v>53</v>
      </c>
      <c r="D140">
        <v>5</v>
      </c>
      <c r="E140" t="s">
        <v>192</v>
      </c>
      <c r="F140" s="24">
        <v>44074</v>
      </c>
      <c r="G14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41" spans="1:7" x14ac:dyDescent="0.25">
      <c r="A141" t="s">
        <v>21</v>
      </c>
      <c r="B141" t="s">
        <v>53</v>
      </c>
      <c r="C141" t="s">
        <v>53</v>
      </c>
      <c r="D141">
        <v>14</v>
      </c>
      <c r="E141" t="s">
        <v>192</v>
      </c>
      <c r="F141" s="24">
        <v>44074</v>
      </c>
      <c r="G141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42" spans="1:7" x14ac:dyDescent="0.25">
      <c r="A142" t="s">
        <v>5</v>
      </c>
      <c r="B142" t="s">
        <v>247</v>
      </c>
      <c r="C142" t="s">
        <v>53</v>
      </c>
      <c r="D142">
        <v>227</v>
      </c>
      <c r="E142" t="s">
        <v>192</v>
      </c>
      <c r="F142" s="24">
        <v>44133</v>
      </c>
      <c r="G142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143" spans="1:7" x14ac:dyDescent="0.25">
      <c r="A143" t="s">
        <v>5</v>
      </c>
      <c r="B143" t="s">
        <v>247</v>
      </c>
      <c r="C143" t="s">
        <v>53</v>
      </c>
      <c r="D143">
        <v>172</v>
      </c>
      <c r="E143" t="s">
        <v>192</v>
      </c>
      <c r="F143" s="24">
        <v>44133</v>
      </c>
      <c r="G143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144" spans="1:7" x14ac:dyDescent="0.25">
      <c r="A144" t="s">
        <v>5</v>
      </c>
      <c r="B144" t="s">
        <v>247</v>
      </c>
      <c r="C144" t="s">
        <v>53</v>
      </c>
      <c r="D144">
        <v>171</v>
      </c>
      <c r="E144" t="s">
        <v>192</v>
      </c>
      <c r="F144" s="24">
        <v>44133</v>
      </c>
      <c r="G14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145" spans="1:8" x14ac:dyDescent="0.25">
      <c r="A145" t="s">
        <v>60</v>
      </c>
      <c r="B145" t="s">
        <v>209</v>
      </c>
      <c r="C145" t="s">
        <v>53</v>
      </c>
      <c r="D145">
        <v>542</v>
      </c>
      <c r="E145" t="s">
        <v>192</v>
      </c>
      <c r="F145" s="24">
        <v>44084</v>
      </c>
      <c r="G145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  <c r="H145" t="s">
        <v>208</v>
      </c>
    </row>
    <row r="146" spans="1:8" x14ac:dyDescent="0.25">
      <c r="A146" t="s">
        <v>5</v>
      </c>
      <c r="B146" t="s">
        <v>247</v>
      </c>
      <c r="C146" t="s">
        <v>53</v>
      </c>
      <c r="D146">
        <v>148</v>
      </c>
      <c r="E146" t="s">
        <v>192</v>
      </c>
      <c r="F146" s="24">
        <v>44133</v>
      </c>
      <c r="G146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147" spans="1:8" x14ac:dyDescent="0.25">
      <c r="A147" t="s">
        <v>5</v>
      </c>
      <c r="C147" t="s">
        <v>53</v>
      </c>
      <c r="D147">
        <v>1</v>
      </c>
      <c r="E147" t="s">
        <v>192</v>
      </c>
      <c r="F147" s="24">
        <v>44084</v>
      </c>
      <c r="G14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  <c r="H147" t="s">
        <v>210</v>
      </c>
    </row>
    <row r="148" spans="1:8" x14ac:dyDescent="0.25">
      <c r="A148" t="s">
        <v>5</v>
      </c>
      <c r="C148" t="s">
        <v>53</v>
      </c>
      <c r="D148">
        <v>1</v>
      </c>
      <c r="E148" t="s">
        <v>192</v>
      </c>
      <c r="F148" s="24">
        <v>44084</v>
      </c>
      <c r="G1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  <c r="H148" t="s">
        <v>210</v>
      </c>
    </row>
    <row r="149" spans="1:8" x14ac:dyDescent="0.25">
      <c r="A149" t="s">
        <v>5</v>
      </c>
      <c r="C149" t="s">
        <v>53</v>
      </c>
      <c r="D149">
        <v>1</v>
      </c>
      <c r="E149" t="s">
        <v>192</v>
      </c>
      <c r="F149" s="24">
        <v>44084</v>
      </c>
      <c r="G149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  <c r="H149" t="s">
        <v>210</v>
      </c>
    </row>
    <row r="150" spans="1:8" x14ac:dyDescent="0.25">
      <c r="A150" t="s">
        <v>5</v>
      </c>
      <c r="C150" t="s">
        <v>53</v>
      </c>
      <c r="D150">
        <v>1</v>
      </c>
      <c r="E150" t="s">
        <v>192</v>
      </c>
      <c r="F150" s="24">
        <v>44084</v>
      </c>
      <c r="G150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  <c r="H150" t="s">
        <v>210</v>
      </c>
    </row>
    <row r="151" spans="1:8" x14ac:dyDescent="0.25">
      <c r="A151" t="s">
        <v>5</v>
      </c>
      <c r="C151" t="s">
        <v>53</v>
      </c>
      <c r="D151">
        <v>1</v>
      </c>
      <c r="E151" t="s">
        <v>192</v>
      </c>
      <c r="F151" s="24">
        <v>44084</v>
      </c>
      <c r="G151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  <c r="H151" t="s">
        <v>210</v>
      </c>
    </row>
    <row r="152" spans="1:8" x14ac:dyDescent="0.25">
      <c r="A152" t="s">
        <v>5</v>
      </c>
      <c r="C152" t="s">
        <v>53</v>
      </c>
      <c r="D152">
        <v>1</v>
      </c>
      <c r="E152" t="s">
        <v>192</v>
      </c>
      <c r="F152" s="24">
        <v>44084</v>
      </c>
      <c r="G152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  <c r="H152" t="s">
        <v>210</v>
      </c>
    </row>
    <row r="153" spans="1:8" x14ac:dyDescent="0.25">
      <c r="A153" t="s">
        <v>5</v>
      </c>
      <c r="C153" t="s">
        <v>53</v>
      </c>
      <c r="D153">
        <v>1</v>
      </c>
      <c r="E153" t="s">
        <v>192</v>
      </c>
      <c r="F153" s="24">
        <v>44084</v>
      </c>
      <c r="G153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  <c r="H153" t="s">
        <v>210</v>
      </c>
    </row>
    <row r="154" spans="1:8" x14ac:dyDescent="0.25">
      <c r="A154" t="s">
        <v>5</v>
      </c>
      <c r="C154" t="s">
        <v>53</v>
      </c>
      <c r="D154">
        <v>1</v>
      </c>
      <c r="E154" t="s">
        <v>192</v>
      </c>
      <c r="F154" s="24">
        <v>44084</v>
      </c>
      <c r="G154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  <c r="H154" t="s">
        <v>210</v>
      </c>
    </row>
    <row r="155" spans="1:8" x14ac:dyDescent="0.25">
      <c r="A155" t="s">
        <v>5</v>
      </c>
      <c r="C155" t="s">
        <v>53</v>
      </c>
      <c r="D155">
        <v>1</v>
      </c>
      <c r="E155" t="s">
        <v>192</v>
      </c>
      <c r="F155" s="24">
        <v>44084</v>
      </c>
      <c r="G155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  <c r="H155" t="s">
        <v>210</v>
      </c>
    </row>
    <row r="156" spans="1:8" x14ac:dyDescent="0.25">
      <c r="A156" t="s">
        <v>5</v>
      </c>
      <c r="C156" t="s">
        <v>53</v>
      </c>
      <c r="D156">
        <v>1</v>
      </c>
      <c r="E156" t="s">
        <v>192</v>
      </c>
      <c r="F156" s="24">
        <v>44084</v>
      </c>
      <c r="G156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  <c r="H156" t="s">
        <v>210</v>
      </c>
    </row>
    <row r="157" spans="1:8" x14ac:dyDescent="0.25">
      <c r="A157" t="s">
        <v>5</v>
      </c>
      <c r="C157" t="s">
        <v>53</v>
      </c>
      <c r="D157">
        <v>1</v>
      </c>
      <c r="E157" t="s">
        <v>192</v>
      </c>
      <c r="F157" s="24">
        <v>44084</v>
      </c>
      <c r="G15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  <c r="H157" t="s">
        <v>210</v>
      </c>
    </row>
    <row r="158" spans="1:8" x14ac:dyDescent="0.25">
      <c r="A158" t="s">
        <v>5</v>
      </c>
      <c r="C158" t="s">
        <v>53</v>
      </c>
      <c r="D158">
        <v>1</v>
      </c>
      <c r="E158" t="s">
        <v>192</v>
      </c>
      <c r="F158" s="24">
        <v>44084</v>
      </c>
      <c r="G15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  <c r="H158" t="s">
        <v>210</v>
      </c>
    </row>
    <row r="159" spans="1:8" x14ac:dyDescent="0.25">
      <c r="A159" t="s">
        <v>5</v>
      </c>
      <c r="C159" t="s">
        <v>53</v>
      </c>
      <c r="D159">
        <v>1</v>
      </c>
      <c r="E159" t="s">
        <v>192</v>
      </c>
      <c r="F159" s="24">
        <v>44084</v>
      </c>
      <c r="G159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  <c r="H159" t="s">
        <v>210</v>
      </c>
    </row>
    <row r="160" spans="1:8" x14ac:dyDescent="0.25">
      <c r="A160" t="s">
        <v>2</v>
      </c>
      <c r="B160" t="s">
        <v>63</v>
      </c>
      <c r="C160" t="s">
        <v>53</v>
      </c>
      <c r="D160">
        <v>1124</v>
      </c>
      <c r="E160" t="s">
        <v>192</v>
      </c>
      <c r="F160" s="24">
        <v>44085</v>
      </c>
      <c r="G160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61" spans="1:7" x14ac:dyDescent="0.25">
      <c r="A161" t="s">
        <v>26</v>
      </c>
      <c r="B161" t="s">
        <v>205</v>
      </c>
      <c r="C161" t="s">
        <v>53</v>
      </c>
      <c r="D161">
        <v>605</v>
      </c>
      <c r="E161" t="s">
        <v>192</v>
      </c>
      <c r="F161" s="24">
        <v>44085</v>
      </c>
      <c r="G161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62" spans="1:7" x14ac:dyDescent="0.25">
      <c r="A162" t="s">
        <v>26</v>
      </c>
      <c r="B162" t="s">
        <v>205</v>
      </c>
      <c r="C162" t="s">
        <v>53</v>
      </c>
      <c r="D162">
        <v>217</v>
      </c>
      <c r="E162" t="s">
        <v>192</v>
      </c>
      <c r="F162" s="24">
        <v>44085</v>
      </c>
      <c r="G162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63" spans="1:7" x14ac:dyDescent="0.25">
      <c r="A163" t="s">
        <v>18</v>
      </c>
      <c r="B163" t="s">
        <v>203</v>
      </c>
      <c r="C163" t="s">
        <v>53</v>
      </c>
      <c r="D163">
        <v>606</v>
      </c>
      <c r="E163" t="s">
        <v>192</v>
      </c>
      <c r="F163" s="24">
        <v>44085</v>
      </c>
      <c r="G163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64" spans="1:7" x14ac:dyDescent="0.25">
      <c r="A164" t="s">
        <v>18</v>
      </c>
      <c r="B164" t="s">
        <v>63</v>
      </c>
      <c r="C164" t="s">
        <v>53</v>
      </c>
      <c r="D164">
        <v>306</v>
      </c>
      <c r="E164" t="s">
        <v>192</v>
      </c>
      <c r="F164" s="24">
        <v>44085</v>
      </c>
      <c r="G164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65" spans="1:7" x14ac:dyDescent="0.25">
      <c r="A165" t="s">
        <v>60</v>
      </c>
      <c r="B165" t="s">
        <v>204</v>
      </c>
      <c r="C165" t="s">
        <v>53</v>
      </c>
      <c r="D165">
        <v>1360</v>
      </c>
      <c r="E165" t="s">
        <v>192</v>
      </c>
      <c r="F165" s="24">
        <v>44090</v>
      </c>
      <c r="G165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66" spans="1:7" x14ac:dyDescent="0.25">
      <c r="A166" t="s">
        <v>60</v>
      </c>
      <c r="B166" t="s">
        <v>204</v>
      </c>
      <c r="C166" t="s">
        <v>53</v>
      </c>
      <c r="D166">
        <v>2220</v>
      </c>
      <c r="E166" t="s">
        <v>192</v>
      </c>
      <c r="F166" s="24">
        <v>44090</v>
      </c>
      <c r="G166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67" spans="1:7" x14ac:dyDescent="0.25">
      <c r="A167" t="s">
        <v>14</v>
      </c>
      <c r="B167" t="s">
        <v>63</v>
      </c>
      <c r="C167" t="s">
        <v>53</v>
      </c>
      <c r="D167">
        <v>799</v>
      </c>
      <c r="E167" t="s">
        <v>192</v>
      </c>
      <c r="F167" s="24">
        <v>44093</v>
      </c>
      <c r="G16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68" spans="1:7" x14ac:dyDescent="0.25">
      <c r="A168" t="s">
        <v>2</v>
      </c>
      <c r="B168" t="s">
        <v>63</v>
      </c>
      <c r="C168" t="s">
        <v>53</v>
      </c>
      <c r="D168">
        <v>640</v>
      </c>
      <c r="E168" t="s">
        <v>192</v>
      </c>
      <c r="F168" s="24">
        <v>44093</v>
      </c>
      <c r="G16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69" spans="1:7" x14ac:dyDescent="0.25">
      <c r="A169" t="s">
        <v>26</v>
      </c>
      <c r="B169" t="s">
        <v>63</v>
      </c>
      <c r="C169" t="s">
        <v>53</v>
      </c>
      <c r="D169">
        <v>989</v>
      </c>
      <c r="E169" t="s">
        <v>192</v>
      </c>
      <c r="F169" s="24">
        <v>44093</v>
      </c>
      <c r="G169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70" spans="1:7" x14ac:dyDescent="0.25">
      <c r="A170" t="s">
        <v>5</v>
      </c>
      <c r="C170" t="s">
        <v>53</v>
      </c>
      <c r="D170">
        <v>224</v>
      </c>
      <c r="E170" t="s">
        <v>192</v>
      </c>
      <c r="F170" s="24">
        <v>44133</v>
      </c>
      <c r="G17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171" spans="1:7" x14ac:dyDescent="0.25">
      <c r="A171" t="s">
        <v>5</v>
      </c>
      <c r="B171" t="s">
        <v>207</v>
      </c>
      <c r="C171" t="s">
        <v>53</v>
      </c>
      <c r="D171">
        <v>168</v>
      </c>
      <c r="E171" t="s">
        <v>192</v>
      </c>
      <c r="F171" s="24">
        <v>44093</v>
      </c>
      <c r="G171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72" spans="1:7" x14ac:dyDescent="0.25">
      <c r="A172" t="s">
        <v>5</v>
      </c>
      <c r="B172" t="s">
        <v>207</v>
      </c>
      <c r="C172" t="s">
        <v>53</v>
      </c>
      <c r="D172">
        <v>233</v>
      </c>
      <c r="E172" t="s">
        <v>192</v>
      </c>
      <c r="F172" s="24">
        <v>44093</v>
      </c>
      <c r="G172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73" spans="1:7" x14ac:dyDescent="0.25">
      <c r="A173" t="s">
        <v>21</v>
      </c>
      <c r="C173" t="s">
        <v>53</v>
      </c>
      <c r="D173">
        <v>6</v>
      </c>
      <c r="E173" t="s">
        <v>192</v>
      </c>
      <c r="F173" s="24">
        <v>44094</v>
      </c>
      <c r="G173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74" spans="1:7" x14ac:dyDescent="0.25">
      <c r="A174" t="s">
        <v>21</v>
      </c>
      <c r="C174" t="s">
        <v>53</v>
      </c>
      <c r="D174">
        <v>1</v>
      </c>
      <c r="E174" t="s">
        <v>192</v>
      </c>
      <c r="F174" s="24">
        <v>44094</v>
      </c>
      <c r="G17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75" spans="1:7" x14ac:dyDescent="0.25">
      <c r="A175" t="s">
        <v>21</v>
      </c>
      <c r="C175" t="s">
        <v>53</v>
      </c>
      <c r="D175">
        <v>1</v>
      </c>
      <c r="E175" t="s">
        <v>192</v>
      </c>
      <c r="F175" s="24">
        <v>44094</v>
      </c>
      <c r="G175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76" spans="1:7" x14ac:dyDescent="0.25">
      <c r="A176" t="s">
        <v>58</v>
      </c>
      <c r="C176" t="s">
        <v>53</v>
      </c>
      <c r="D176">
        <v>397</v>
      </c>
      <c r="E176" t="s">
        <v>192</v>
      </c>
      <c r="F176" s="24">
        <v>44094</v>
      </c>
      <c r="G176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77" spans="1:7" x14ac:dyDescent="0.25">
      <c r="F177" s="24"/>
      <c r="G177" s="48"/>
    </row>
    <row r="178" spans="1:7" x14ac:dyDescent="0.25">
      <c r="A178" t="s">
        <v>0</v>
      </c>
      <c r="B178" t="s">
        <v>41</v>
      </c>
      <c r="C178" t="s">
        <v>49</v>
      </c>
      <c r="D178">
        <v>580</v>
      </c>
      <c r="E178" t="s">
        <v>192</v>
      </c>
      <c r="F178" s="24">
        <v>44094</v>
      </c>
      <c r="G178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79" spans="1:7" x14ac:dyDescent="0.25">
      <c r="A179" t="s">
        <v>0</v>
      </c>
      <c r="B179" t="s">
        <v>41</v>
      </c>
      <c r="C179" t="s">
        <v>49</v>
      </c>
      <c r="D179">
        <v>480</v>
      </c>
      <c r="E179" t="s">
        <v>192</v>
      </c>
      <c r="F179" s="24">
        <v>44094</v>
      </c>
      <c r="G179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80" spans="1:7" x14ac:dyDescent="0.25">
      <c r="A180" t="s">
        <v>0</v>
      </c>
      <c r="B180" t="s">
        <v>41</v>
      </c>
      <c r="C180" t="s">
        <v>49</v>
      </c>
      <c r="D180">
        <v>640</v>
      </c>
      <c r="E180" t="s">
        <v>192</v>
      </c>
      <c r="F180" s="24">
        <v>44094</v>
      </c>
      <c r="G18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81" spans="1:7" x14ac:dyDescent="0.25">
      <c r="A181" t="s">
        <v>0</v>
      </c>
      <c r="B181" t="s">
        <v>41</v>
      </c>
      <c r="C181" t="s">
        <v>49</v>
      </c>
      <c r="D181">
        <v>560</v>
      </c>
      <c r="E181" t="s">
        <v>192</v>
      </c>
      <c r="F181" s="24">
        <v>44094</v>
      </c>
      <c r="G181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82" spans="1:7" x14ac:dyDescent="0.25">
      <c r="A182" t="s">
        <v>0</v>
      </c>
      <c r="B182" t="s">
        <v>41</v>
      </c>
      <c r="C182" t="s">
        <v>49</v>
      </c>
      <c r="D182">
        <v>100</v>
      </c>
      <c r="E182" t="s">
        <v>192</v>
      </c>
      <c r="F182" s="24">
        <v>44094</v>
      </c>
      <c r="G182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83" spans="1:7" x14ac:dyDescent="0.25">
      <c r="A183" t="s">
        <v>127</v>
      </c>
      <c r="C183" t="s">
        <v>53</v>
      </c>
      <c r="D183">
        <v>1</v>
      </c>
      <c r="E183" t="s">
        <v>192</v>
      </c>
      <c r="F183" s="24">
        <v>44094</v>
      </c>
      <c r="G183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84" spans="1:7" x14ac:dyDescent="0.25">
      <c r="A184" t="s">
        <v>3</v>
      </c>
      <c r="C184" t="s">
        <v>53</v>
      </c>
      <c r="D184">
        <v>456</v>
      </c>
      <c r="E184" t="s">
        <v>192</v>
      </c>
      <c r="F184" s="24">
        <v>44094</v>
      </c>
      <c r="G18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185" spans="1:7" x14ac:dyDescent="0.25">
      <c r="A185" t="s">
        <v>4</v>
      </c>
      <c r="C185" t="s">
        <v>53</v>
      </c>
      <c r="D185">
        <v>488</v>
      </c>
      <c r="E185" t="s">
        <v>192</v>
      </c>
      <c r="F185" s="24">
        <v>44094</v>
      </c>
      <c r="G185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86" spans="1:7" x14ac:dyDescent="0.25">
      <c r="A186" t="s">
        <v>4</v>
      </c>
      <c r="C186" t="s">
        <v>53</v>
      </c>
      <c r="D186">
        <v>546</v>
      </c>
      <c r="E186" t="s">
        <v>192</v>
      </c>
      <c r="F186" s="24">
        <v>44094</v>
      </c>
      <c r="G186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87" spans="1:7" x14ac:dyDescent="0.25">
      <c r="A187" t="s">
        <v>92</v>
      </c>
      <c r="C187" t="s">
        <v>53</v>
      </c>
      <c r="D187">
        <v>279</v>
      </c>
      <c r="E187" t="s">
        <v>192</v>
      </c>
      <c r="F187" s="24">
        <v>44094</v>
      </c>
      <c r="G187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88" spans="1:7" x14ac:dyDescent="0.25">
      <c r="A188" t="s">
        <v>92</v>
      </c>
      <c r="C188" t="s">
        <v>53</v>
      </c>
      <c r="D188">
        <v>481</v>
      </c>
      <c r="E188" t="s">
        <v>192</v>
      </c>
      <c r="F188" s="24">
        <v>44094</v>
      </c>
      <c r="G188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89" spans="1:7" x14ac:dyDescent="0.25">
      <c r="A189" t="s">
        <v>92</v>
      </c>
      <c r="C189" t="s">
        <v>53</v>
      </c>
      <c r="D189">
        <v>357</v>
      </c>
      <c r="E189" t="s">
        <v>192</v>
      </c>
      <c r="F189" s="24">
        <v>44094</v>
      </c>
      <c r="G189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90" spans="1:7" x14ac:dyDescent="0.25">
      <c r="A190" t="s">
        <v>21</v>
      </c>
      <c r="B190" t="s">
        <v>66</v>
      </c>
      <c r="C190" t="s">
        <v>53</v>
      </c>
      <c r="D190">
        <v>11</v>
      </c>
      <c r="E190" t="s">
        <v>192</v>
      </c>
      <c r="F190" s="24">
        <v>44099</v>
      </c>
      <c r="G19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91" spans="1:7" x14ac:dyDescent="0.25">
      <c r="A191" t="s">
        <v>21</v>
      </c>
      <c r="B191" t="s">
        <v>66</v>
      </c>
      <c r="C191" t="s">
        <v>53</v>
      </c>
      <c r="D191">
        <v>1</v>
      </c>
      <c r="E191" t="s">
        <v>192</v>
      </c>
      <c r="F191" s="24">
        <v>44099</v>
      </c>
      <c r="G191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92" spans="1:7" x14ac:dyDescent="0.25">
      <c r="A192" t="s">
        <v>21</v>
      </c>
      <c r="B192" t="s">
        <v>66</v>
      </c>
      <c r="C192" t="s">
        <v>53</v>
      </c>
      <c r="D192">
        <v>1</v>
      </c>
      <c r="E192" t="s">
        <v>192</v>
      </c>
      <c r="F192" s="24">
        <v>44099</v>
      </c>
      <c r="G192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93" spans="1:7" x14ac:dyDescent="0.25">
      <c r="A193" t="s">
        <v>4</v>
      </c>
      <c r="B193" t="s">
        <v>211</v>
      </c>
      <c r="C193" t="s">
        <v>53</v>
      </c>
      <c r="D193">
        <v>222</v>
      </c>
      <c r="E193" t="s">
        <v>192</v>
      </c>
      <c r="F193" s="24">
        <v>44103</v>
      </c>
      <c r="G193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94" spans="1:7" x14ac:dyDescent="0.25">
      <c r="A194" t="s">
        <v>4</v>
      </c>
      <c r="B194" t="s">
        <v>211</v>
      </c>
      <c r="C194" t="s">
        <v>53</v>
      </c>
      <c r="D194">
        <v>208</v>
      </c>
      <c r="E194" t="s">
        <v>192</v>
      </c>
      <c r="F194" s="24">
        <v>44103</v>
      </c>
      <c r="G19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95" spans="1:7" x14ac:dyDescent="0.25">
      <c r="A195" t="s">
        <v>4</v>
      </c>
      <c r="B195" t="s">
        <v>211</v>
      </c>
      <c r="C195" t="s">
        <v>53</v>
      </c>
      <c r="D195">
        <v>209</v>
      </c>
      <c r="E195" t="s">
        <v>192</v>
      </c>
      <c r="F195" s="24">
        <v>44103</v>
      </c>
      <c r="G195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96" spans="1:7" x14ac:dyDescent="0.25">
      <c r="A196" t="s">
        <v>4</v>
      </c>
      <c r="B196" t="s">
        <v>211</v>
      </c>
      <c r="C196" t="s">
        <v>53</v>
      </c>
      <c r="D196">
        <v>192</v>
      </c>
      <c r="E196" t="s">
        <v>192</v>
      </c>
      <c r="F196" s="24">
        <v>44103</v>
      </c>
      <c r="G196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97" spans="1:7" x14ac:dyDescent="0.25">
      <c r="A197" t="s">
        <v>2</v>
      </c>
      <c r="B197" t="s">
        <v>213</v>
      </c>
      <c r="C197" t="s">
        <v>53</v>
      </c>
      <c r="D197">
        <v>887</v>
      </c>
      <c r="E197" t="s">
        <v>192</v>
      </c>
      <c r="F197" s="24">
        <v>44105</v>
      </c>
      <c r="G197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98" spans="1:7" x14ac:dyDescent="0.25">
      <c r="A198" t="s">
        <v>2</v>
      </c>
      <c r="B198" t="s">
        <v>213</v>
      </c>
      <c r="C198" t="s">
        <v>53</v>
      </c>
      <c r="D198">
        <v>500</v>
      </c>
      <c r="E198" t="s">
        <v>192</v>
      </c>
      <c r="F198" s="24">
        <v>44105</v>
      </c>
      <c r="G198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199" spans="1:7" x14ac:dyDescent="0.25">
      <c r="A199" t="s">
        <v>2</v>
      </c>
      <c r="B199" t="s">
        <v>213</v>
      </c>
      <c r="C199" t="s">
        <v>53</v>
      </c>
      <c r="D199">
        <v>201</v>
      </c>
      <c r="E199" t="s">
        <v>192</v>
      </c>
      <c r="F199" s="24">
        <v>44105</v>
      </c>
      <c r="G199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00" spans="1:7" x14ac:dyDescent="0.25">
      <c r="A200" t="s">
        <v>2</v>
      </c>
      <c r="B200" t="s">
        <v>63</v>
      </c>
      <c r="C200" t="s">
        <v>53</v>
      </c>
      <c r="D200">
        <v>50</v>
      </c>
      <c r="E200" t="s">
        <v>192</v>
      </c>
      <c r="F200" s="24">
        <v>44105</v>
      </c>
      <c r="G20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01" spans="1:7" x14ac:dyDescent="0.25">
      <c r="A201" t="s">
        <v>2</v>
      </c>
      <c r="B201" t="s">
        <v>63</v>
      </c>
      <c r="C201" t="s">
        <v>53</v>
      </c>
      <c r="D201">
        <v>1033</v>
      </c>
      <c r="E201" t="s">
        <v>192</v>
      </c>
      <c r="F201" s="24">
        <v>44105</v>
      </c>
      <c r="G201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02" spans="1:7" x14ac:dyDescent="0.25">
      <c r="A202" t="s">
        <v>0</v>
      </c>
      <c r="B202" t="s">
        <v>225</v>
      </c>
      <c r="C202" t="s">
        <v>53</v>
      </c>
      <c r="D202">
        <v>198</v>
      </c>
      <c r="E202" t="s">
        <v>192</v>
      </c>
      <c r="F202" s="24">
        <v>44111</v>
      </c>
      <c r="G202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03" spans="1:7" x14ac:dyDescent="0.25">
      <c r="F203" s="24"/>
      <c r="G203" s="48"/>
    </row>
    <row r="204" spans="1:7" x14ac:dyDescent="0.25">
      <c r="A204" t="s">
        <v>13</v>
      </c>
      <c r="B204" t="s">
        <v>217</v>
      </c>
      <c r="C204" t="s">
        <v>53</v>
      </c>
      <c r="D204" s="85">
        <v>520</v>
      </c>
      <c r="E204" t="s">
        <v>192</v>
      </c>
      <c r="F204" s="24">
        <v>44112</v>
      </c>
      <c r="G20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05" spans="1:7" x14ac:dyDescent="0.25">
      <c r="A205" t="s">
        <v>13</v>
      </c>
      <c r="B205" t="s">
        <v>217</v>
      </c>
      <c r="C205" t="s">
        <v>53</v>
      </c>
      <c r="D205">
        <v>586</v>
      </c>
      <c r="E205" t="s">
        <v>192</v>
      </c>
      <c r="F205" s="24">
        <v>44112</v>
      </c>
      <c r="G205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06" spans="1:7" x14ac:dyDescent="0.25">
      <c r="A206" t="s">
        <v>13</v>
      </c>
      <c r="B206" t="s">
        <v>217</v>
      </c>
      <c r="C206" t="s">
        <v>53</v>
      </c>
      <c r="D206">
        <v>661</v>
      </c>
      <c r="E206" t="s">
        <v>192</v>
      </c>
      <c r="F206" s="24">
        <v>44112</v>
      </c>
      <c r="G206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07" spans="1:7" x14ac:dyDescent="0.25">
      <c r="A207" t="s">
        <v>13</v>
      </c>
      <c r="B207" t="s">
        <v>217</v>
      </c>
      <c r="C207" t="s">
        <v>53</v>
      </c>
      <c r="D207">
        <v>510</v>
      </c>
      <c r="E207" t="s">
        <v>192</v>
      </c>
      <c r="F207" s="24">
        <v>44112</v>
      </c>
      <c r="G207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08" spans="1:7" x14ac:dyDescent="0.25">
      <c r="A208" t="s">
        <v>13</v>
      </c>
      <c r="B208" t="s">
        <v>218</v>
      </c>
      <c r="C208" t="s">
        <v>53</v>
      </c>
      <c r="D208">
        <v>258</v>
      </c>
      <c r="E208" t="s">
        <v>192</v>
      </c>
      <c r="F208" s="24">
        <v>44112</v>
      </c>
      <c r="G208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09" spans="1:8" x14ac:dyDescent="0.25">
      <c r="A209" t="s">
        <v>13</v>
      </c>
      <c r="B209" t="s">
        <v>218</v>
      </c>
      <c r="C209" t="s">
        <v>53</v>
      </c>
      <c r="D209">
        <v>445</v>
      </c>
      <c r="E209" t="s">
        <v>192</v>
      </c>
      <c r="F209" s="24">
        <v>44112</v>
      </c>
      <c r="G209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10" spans="1:8" x14ac:dyDescent="0.25">
      <c r="A210" t="s">
        <v>21</v>
      </c>
      <c r="B210" t="s">
        <v>217</v>
      </c>
      <c r="C210" t="s">
        <v>53</v>
      </c>
      <c r="D210">
        <v>28</v>
      </c>
      <c r="E210" t="s">
        <v>192</v>
      </c>
      <c r="F210" s="24">
        <v>44112</v>
      </c>
      <c r="G21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11" spans="1:8" x14ac:dyDescent="0.25">
      <c r="A211" t="s">
        <v>21</v>
      </c>
      <c r="B211" t="s">
        <v>217</v>
      </c>
      <c r="C211" t="s">
        <v>53</v>
      </c>
      <c r="D211">
        <v>20</v>
      </c>
      <c r="E211" t="s">
        <v>192</v>
      </c>
      <c r="F211" s="24">
        <v>44112</v>
      </c>
      <c r="G211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12" spans="1:8" x14ac:dyDescent="0.25">
      <c r="A212" t="s">
        <v>21</v>
      </c>
      <c r="B212" t="s">
        <v>217</v>
      </c>
      <c r="C212" t="s">
        <v>53</v>
      </c>
      <c r="D212">
        <v>21</v>
      </c>
      <c r="E212" t="s">
        <v>192</v>
      </c>
      <c r="F212" s="24">
        <v>44112</v>
      </c>
      <c r="G212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13" spans="1:8" x14ac:dyDescent="0.25">
      <c r="A213" t="s">
        <v>21</v>
      </c>
      <c r="B213" t="s">
        <v>217</v>
      </c>
      <c r="C213" t="s">
        <v>53</v>
      </c>
      <c r="D213">
        <v>7</v>
      </c>
      <c r="E213" t="s">
        <v>192</v>
      </c>
      <c r="F213" s="24">
        <v>44112</v>
      </c>
      <c r="G213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14" spans="1:8" x14ac:dyDescent="0.25">
      <c r="A214" t="s">
        <v>21</v>
      </c>
      <c r="B214" t="s">
        <v>217</v>
      </c>
      <c r="C214" t="s">
        <v>53</v>
      </c>
      <c r="D214">
        <v>16</v>
      </c>
      <c r="E214" t="s">
        <v>192</v>
      </c>
      <c r="F214" s="24">
        <v>44112</v>
      </c>
      <c r="G21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15" spans="1:8" x14ac:dyDescent="0.25">
      <c r="A215" t="s">
        <v>5</v>
      </c>
      <c r="B215" t="s">
        <v>226</v>
      </c>
      <c r="C215" t="s">
        <v>53</v>
      </c>
      <c r="D215">
        <v>173</v>
      </c>
      <c r="E215" t="s">
        <v>192</v>
      </c>
      <c r="F215" s="24">
        <v>44116</v>
      </c>
      <c r="G215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16" spans="1:8" x14ac:dyDescent="0.25">
      <c r="A216" t="s">
        <v>5</v>
      </c>
      <c r="B216" t="s">
        <v>226</v>
      </c>
      <c r="C216" t="s">
        <v>53</v>
      </c>
      <c r="D216">
        <v>129</v>
      </c>
      <c r="E216" t="s">
        <v>192</v>
      </c>
      <c r="F216" s="24">
        <v>44116</v>
      </c>
      <c r="G216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17" spans="1:8" x14ac:dyDescent="0.25">
      <c r="A217" t="s">
        <v>5</v>
      </c>
      <c r="B217" t="s">
        <v>226</v>
      </c>
      <c r="C217" t="s">
        <v>53</v>
      </c>
      <c r="D217">
        <v>220</v>
      </c>
      <c r="E217" t="s">
        <v>192</v>
      </c>
      <c r="F217" s="24">
        <v>44116</v>
      </c>
      <c r="G217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18" spans="1:8" x14ac:dyDescent="0.25">
      <c r="A218" t="s">
        <v>5</v>
      </c>
      <c r="B218" t="s">
        <v>226</v>
      </c>
      <c r="C218" t="s">
        <v>53</v>
      </c>
      <c r="D218">
        <v>138</v>
      </c>
      <c r="E218" t="s">
        <v>192</v>
      </c>
      <c r="F218" s="24">
        <v>44116</v>
      </c>
      <c r="G218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19" spans="1:8" x14ac:dyDescent="0.25">
      <c r="A219" t="s">
        <v>101</v>
      </c>
      <c r="B219" t="s">
        <v>213</v>
      </c>
      <c r="C219" t="s">
        <v>53</v>
      </c>
      <c r="D219">
        <v>161</v>
      </c>
      <c r="E219" t="s">
        <v>216</v>
      </c>
      <c r="F219" s="24">
        <v>44114</v>
      </c>
      <c r="G219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20" spans="1:8" x14ac:dyDescent="0.25">
      <c r="A220" t="s">
        <v>101</v>
      </c>
      <c r="B220" t="s">
        <v>230</v>
      </c>
      <c r="C220" t="s">
        <v>181</v>
      </c>
      <c r="D220">
        <v>998</v>
      </c>
      <c r="E220" t="s">
        <v>216</v>
      </c>
      <c r="F220" s="24">
        <v>44114</v>
      </c>
      <c r="G22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21" spans="1:8" x14ac:dyDescent="0.25">
      <c r="A221" t="s">
        <v>101</v>
      </c>
      <c r="B221" t="s">
        <v>230</v>
      </c>
      <c r="C221" t="s">
        <v>181</v>
      </c>
      <c r="D221">
        <v>829</v>
      </c>
      <c r="E221" t="s">
        <v>216</v>
      </c>
      <c r="F221" s="24">
        <v>44114</v>
      </c>
      <c r="G221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22" spans="1:8" x14ac:dyDescent="0.25">
      <c r="A222" t="s">
        <v>101</v>
      </c>
      <c r="B222" t="s">
        <v>230</v>
      </c>
      <c r="C222" t="s">
        <v>181</v>
      </c>
      <c r="D222">
        <v>990</v>
      </c>
      <c r="E222" t="s">
        <v>216</v>
      </c>
      <c r="F222" s="24">
        <v>44114</v>
      </c>
      <c r="G222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23" spans="1:8" x14ac:dyDescent="0.25">
      <c r="A223" t="s">
        <v>101</v>
      </c>
      <c r="B223" t="s">
        <v>230</v>
      </c>
      <c r="C223" t="s">
        <v>181</v>
      </c>
      <c r="D223">
        <v>1008</v>
      </c>
      <c r="E223" t="s">
        <v>216</v>
      </c>
      <c r="F223" s="24">
        <v>44114</v>
      </c>
      <c r="G223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24" spans="1:8" x14ac:dyDescent="0.25">
      <c r="A224" s="88" t="s">
        <v>103</v>
      </c>
      <c r="B224" s="85" t="s">
        <v>213</v>
      </c>
      <c r="C224" s="85" t="s">
        <v>53</v>
      </c>
      <c r="D224" s="85">
        <v>1196</v>
      </c>
      <c r="E224" t="s">
        <v>216</v>
      </c>
      <c r="F224" s="24">
        <v>44114</v>
      </c>
      <c r="G224" s="8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  <c r="H224" s="85"/>
    </row>
    <row r="225" spans="1:8" x14ac:dyDescent="0.25">
      <c r="A225" s="88" t="s">
        <v>103</v>
      </c>
      <c r="B225" s="85"/>
      <c r="C225" s="85" t="s">
        <v>53</v>
      </c>
      <c r="D225" s="85">
        <v>240</v>
      </c>
      <c r="E225" t="s">
        <v>216</v>
      </c>
      <c r="F225" s="24">
        <v>44114</v>
      </c>
      <c r="G225" s="8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225" s="85" t="s">
        <v>254</v>
      </c>
    </row>
    <row r="226" spans="1:8" x14ac:dyDescent="0.25">
      <c r="A226" s="88" t="s">
        <v>157</v>
      </c>
      <c r="B226" s="85" t="s">
        <v>228</v>
      </c>
      <c r="C226" s="85" t="s">
        <v>53</v>
      </c>
      <c r="D226" s="85">
        <v>276</v>
      </c>
      <c r="E226" t="s">
        <v>216</v>
      </c>
      <c r="F226" s="24">
        <v>44114</v>
      </c>
      <c r="G226" s="8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226" s="85" t="s">
        <v>232</v>
      </c>
    </row>
    <row r="227" spans="1:8" x14ac:dyDescent="0.25">
      <c r="A227" s="88" t="s">
        <v>157</v>
      </c>
      <c r="B227" s="85" t="s">
        <v>228</v>
      </c>
      <c r="C227" t="s">
        <v>53</v>
      </c>
      <c r="D227">
        <v>307</v>
      </c>
      <c r="E227" t="s">
        <v>216</v>
      </c>
      <c r="F227" s="24">
        <v>44114</v>
      </c>
      <c r="G227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227" t="s">
        <v>233</v>
      </c>
    </row>
    <row r="228" spans="1:8" x14ac:dyDescent="0.25">
      <c r="A228" s="88" t="s">
        <v>157</v>
      </c>
      <c r="B228" s="85" t="s">
        <v>228</v>
      </c>
      <c r="C228" t="s">
        <v>53</v>
      </c>
      <c r="D228">
        <v>340</v>
      </c>
      <c r="E228" t="s">
        <v>216</v>
      </c>
      <c r="F228" s="24">
        <v>44114</v>
      </c>
      <c r="G228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228" t="s">
        <v>234</v>
      </c>
    </row>
    <row r="229" spans="1:8" x14ac:dyDescent="0.25">
      <c r="A229" s="88" t="s">
        <v>157</v>
      </c>
      <c r="B229" s="85" t="s">
        <v>228</v>
      </c>
      <c r="C229" t="s">
        <v>53</v>
      </c>
      <c r="D229">
        <v>366</v>
      </c>
      <c r="E229" t="s">
        <v>216</v>
      </c>
      <c r="F229" s="24">
        <v>44114</v>
      </c>
      <c r="G229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229" t="s">
        <v>235</v>
      </c>
    </row>
    <row r="230" spans="1:8" x14ac:dyDescent="0.25">
      <c r="A230" s="88" t="s">
        <v>157</v>
      </c>
      <c r="B230" s="85" t="s">
        <v>228</v>
      </c>
      <c r="C230" t="s">
        <v>53</v>
      </c>
      <c r="D230">
        <v>306</v>
      </c>
      <c r="E230" t="s">
        <v>216</v>
      </c>
      <c r="F230" s="24">
        <v>44114</v>
      </c>
      <c r="G23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230" t="s">
        <v>236</v>
      </c>
    </row>
    <row r="231" spans="1:8" x14ac:dyDescent="0.25">
      <c r="A231" s="88" t="s">
        <v>157</v>
      </c>
      <c r="B231" s="85" t="s">
        <v>228</v>
      </c>
      <c r="C231" t="s">
        <v>53</v>
      </c>
      <c r="D231">
        <v>293</v>
      </c>
      <c r="E231" t="s">
        <v>216</v>
      </c>
      <c r="F231" s="24">
        <v>44114</v>
      </c>
      <c r="G231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231" t="s">
        <v>237</v>
      </c>
    </row>
    <row r="232" spans="1:8" x14ac:dyDescent="0.25">
      <c r="A232" s="88" t="s">
        <v>157</v>
      </c>
      <c r="B232" s="85" t="s">
        <v>228</v>
      </c>
      <c r="C232" t="s">
        <v>53</v>
      </c>
      <c r="D232">
        <v>266</v>
      </c>
      <c r="E232" t="s">
        <v>216</v>
      </c>
      <c r="F232" s="24">
        <v>44114</v>
      </c>
      <c r="G232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232" t="s">
        <v>238</v>
      </c>
    </row>
    <row r="233" spans="1:8" x14ac:dyDescent="0.25">
      <c r="A233" s="86" t="s">
        <v>157</v>
      </c>
      <c r="B233" s="85" t="s">
        <v>228</v>
      </c>
      <c r="C233" t="s">
        <v>53</v>
      </c>
      <c r="D233">
        <v>280</v>
      </c>
      <c r="E233" t="s">
        <v>216</v>
      </c>
      <c r="F233" s="24">
        <v>44114</v>
      </c>
      <c r="G233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233" t="s">
        <v>239</v>
      </c>
    </row>
    <row r="234" spans="1:8" x14ac:dyDescent="0.25">
      <c r="A234" s="88" t="s">
        <v>157</v>
      </c>
      <c r="B234" s="85" t="s">
        <v>228</v>
      </c>
      <c r="C234" t="s">
        <v>53</v>
      </c>
      <c r="D234">
        <v>248</v>
      </c>
      <c r="E234" t="s">
        <v>216</v>
      </c>
      <c r="F234" s="24">
        <v>44114</v>
      </c>
      <c r="G23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234" t="s">
        <v>242</v>
      </c>
    </row>
    <row r="235" spans="1:8" x14ac:dyDescent="0.25">
      <c r="A235" s="88" t="s">
        <v>157</v>
      </c>
      <c r="B235" s="85" t="s">
        <v>228</v>
      </c>
      <c r="C235" t="s">
        <v>53</v>
      </c>
      <c r="D235">
        <v>267</v>
      </c>
      <c r="E235" t="s">
        <v>216</v>
      </c>
      <c r="F235" s="24">
        <v>44114</v>
      </c>
      <c r="G235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235" t="s">
        <v>243</v>
      </c>
    </row>
    <row r="236" spans="1:8" x14ac:dyDescent="0.25">
      <c r="A236" s="88" t="s">
        <v>157</v>
      </c>
      <c r="B236" s="85" t="s">
        <v>228</v>
      </c>
      <c r="C236" t="s">
        <v>53</v>
      </c>
      <c r="D236">
        <v>310</v>
      </c>
      <c r="E236" t="s">
        <v>216</v>
      </c>
      <c r="F236" s="24">
        <v>44114</v>
      </c>
      <c r="G236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236" t="s">
        <v>240</v>
      </c>
    </row>
    <row r="237" spans="1:8" x14ac:dyDescent="0.25">
      <c r="A237" s="88" t="s">
        <v>157</v>
      </c>
      <c r="B237" s="85" t="s">
        <v>228</v>
      </c>
      <c r="C237" t="s">
        <v>53</v>
      </c>
      <c r="D237">
        <v>288</v>
      </c>
      <c r="E237" t="s">
        <v>216</v>
      </c>
      <c r="F237" s="24">
        <v>44114</v>
      </c>
      <c r="G237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237" t="s">
        <v>241</v>
      </c>
    </row>
    <row r="238" spans="1:8" x14ac:dyDescent="0.25">
      <c r="A238" s="88" t="s">
        <v>157</v>
      </c>
      <c r="B238" s="85" t="s">
        <v>228</v>
      </c>
      <c r="C238" t="s">
        <v>53</v>
      </c>
      <c r="D238">
        <v>351</v>
      </c>
      <c r="E238" t="s">
        <v>216</v>
      </c>
      <c r="F238" s="24">
        <v>44114</v>
      </c>
      <c r="G238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238" t="s">
        <v>244</v>
      </c>
    </row>
    <row r="239" spans="1:8" x14ac:dyDescent="0.25">
      <c r="A239" t="s">
        <v>29</v>
      </c>
      <c r="B239" t="s">
        <v>228</v>
      </c>
      <c r="C239" t="s">
        <v>229</v>
      </c>
      <c r="D239">
        <v>1363</v>
      </c>
      <c r="E239" t="s">
        <v>216</v>
      </c>
      <c r="F239" s="24">
        <v>44114</v>
      </c>
      <c r="G239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40" spans="1:8" x14ac:dyDescent="0.25">
      <c r="A240" t="s">
        <v>29</v>
      </c>
      <c r="B240" t="s">
        <v>228</v>
      </c>
      <c r="C240" t="s">
        <v>229</v>
      </c>
      <c r="D240">
        <v>1134</v>
      </c>
      <c r="E240" t="s">
        <v>216</v>
      </c>
      <c r="F240" s="24">
        <v>44114</v>
      </c>
      <c r="G24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41" spans="1:8" x14ac:dyDescent="0.25">
      <c r="A241" t="s">
        <v>29</v>
      </c>
      <c r="B241" t="s">
        <v>228</v>
      </c>
      <c r="C241" t="s">
        <v>229</v>
      </c>
      <c r="D241">
        <v>1070</v>
      </c>
      <c r="E241" t="s">
        <v>216</v>
      </c>
      <c r="F241" s="24">
        <v>44114</v>
      </c>
      <c r="G241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42" spans="1:8" x14ac:dyDescent="0.25">
      <c r="A242" t="s">
        <v>29</v>
      </c>
      <c r="B242" t="s">
        <v>228</v>
      </c>
      <c r="C242" t="s">
        <v>229</v>
      </c>
      <c r="D242">
        <v>1225</v>
      </c>
      <c r="E242" t="s">
        <v>216</v>
      </c>
      <c r="F242" s="24">
        <v>44114</v>
      </c>
      <c r="G242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43" spans="1:8" x14ac:dyDescent="0.25">
      <c r="A243" t="s">
        <v>29</v>
      </c>
      <c r="B243" t="s">
        <v>228</v>
      </c>
      <c r="C243" t="s">
        <v>229</v>
      </c>
      <c r="D243">
        <v>582</v>
      </c>
      <c r="E243" t="s">
        <v>216</v>
      </c>
      <c r="F243" s="24">
        <v>44114</v>
      </c>
      <c r="G243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44" spans="1:8" x14ac:dyDescent="0.25">
      <c r="A244" t="s">
        <v>29</v>
      </c>
      <c r="B244" t="s">
        <v>228</v>
      </c>
      <c r="C244" t="s">
        <v>229</v>
      </c>
      <c r="D244">
        <v>795</v>
      </c>
      <c r="E244" t="s">
        <v>216</v>
      </c>
      <c r="F244" s="24">
        <v>44114</v>
      </c>
      <c r="G24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45" spans="1:8" x14ac:dyDescent="0.25">
      <c r="A245" t="s">
        <v>29</v>
      </c>
      <c r="B245" t="s">
        <v>228</v>
      </c>
      <c r="C245" t="s">
        <v>229</v>
      </c>
      <c r="D245">
        <v>1278</v>
      </c>
      <c r="E245" t="s">
        <v>216</v>
      </c>
      <c r="F245" s="24">
        <v>44114</v>
      </c>
      <c r="G245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46" spans="1:8" x14ac:dyDescent="0.25">
      <c r="A246" t="s">
        <v>29</v>
      </c>
      <c r="B246" t="s">
        <v>228</v>
      </c>
      <c r="C246" t="s">
        <v>229</v>
      </c>
      <c r="D246">
        <v>1027</v>
      </c>
      <c r="E246" t="s">
        <v>216</v>
      </c>
      <c r="F246" s="24">
        <v>44114</v>
      </c>
      <c r="G246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47" spans="1:8" x14ac:dyDescent="0.25">
      <c r="A247" t="s">
        <v>29</v>
      </c>
      <c r="B247" t="s">
        <v>228</v>
      </c>
      <c r="C247" t="s">
        <v>53</v>
      </c>
      <c r="D247">
        <v>1</v>
      </c>
      <c r="E247" t="s">
        <v>216</v>
      </c>
      <c r="F247" s="24">
        <v>44114</v>
      </c>
      <c r="G247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48" spans="1:8" x14ac:dyDescent="0.25">
      <c r="A248" s="88" t="s">
        <v>161</v>
      </c>
      <c r="B248" s="85" t="s">
        <v>227</v>
      </c>
      <c r="C248" s="85" t="s">
        <v>229</v>
      </c>
      <c r="D248" s="85">
        <v>1</v>
      </c>
      <c r="E248" t="s">
        <v>216</v>
      </c>
      <c r="F248" s="24">
        <v>44114</v>
      </c>
      <c r="G248" s="8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248" s="85" t="s">
        <v>255</v>
      </c>
    </row>
    <row r="249" spans="1:8" x14ac:dyDescent="0.25">
      <c r="A249" s="88" t="s">
        <v>163</v>
      </c>
      <c r="B249" s="85" t="s">
        <v>231</v>
      </c>
      <c r="C249" s="85" t="s">
        <v>53</v>
      </c>
      <c r="D249" s="85">
        <v>235</v>
      </c>
      <c r="E249" t="s">
        <v>216</v>
      </c>
      <c r="F249" s="24">
        <v>44114</v>
      </c>
      <c r="G249" s="8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249" s="85" t="s">
        <v>255</v>
      </c>
    </row>
    <row r="250" spans="1:8" x14ac:dyDescent="0.25">
      <c r="A250" s="88" t="s">
        <v>163</v>
      </c>
      <c r="B250" s="85" t="s">
        <v>231</v>
      </c>
      <c r="C250" s="85" t="s">
        <v>53</v>
      </c>
      <c r="D250" s="85">
        <v>630</v>
      </c>
      <c r="E250" t="s">
        <v>216</v>
      </c>
      <c r="F250" s="24">
        <v>44114</v>
      </c>
      <c r="G250" s="8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250" s="85" t="s">
        <v>256</v>
      </c>
    </row>
    <row r="251" spans="1:8" x14ac:dyDescent="0.25">
      <c r="A251" s="88"/>
      <c r="B251" s="85"/>
      <c r="F251" s="24"/>
      <c r="G251" s="48"/>
    </row>
    <row r="252" spans="1:8" x14ac:dyDescent="0.25">
      <c r="A252" s="88"/>
      <c r="B252" s="85"/>
      <c r="F252" s="24"/>
      <c r="G252" s="48"/>
    </row>
    <row r="253" spans="1:8" x14ac:dyDescent="0.25">
      <c r="A253" t="s">
        <v>0</v>
      </c>
      <c r="B253" t="s">
        <v>49</v>
      </c>
      <c r="C253" t="s">
        <v>49</v>
      </c>
      <c r="D253">
        <v>557</v>
      </c>
      <c r="E253" t="s">
        <v>192</v>
      </c>
      <c r="F253" s="24">
        <v>44133</v>
      </c>
      <c r="G253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54" spans="1:8" x14ac:dyDescent="0.25">
      <c r="A254" t="s">
        <v>0</v>
      </c>
      <c r="B254" t="s">
        <v>41</v>
      </c>
      <c r="C254" t="s">
        <v>49</v>
      </c>
      <c r="D254">
        <v>977</v>
      </c>
      <c r="E254" t="s">
        <v>192</v>
      </c>
      <c r="F254" s="24">
        <v>44133</v>
      </c>
      <c r="G25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55" spans="1:8" x14ac:dyDescent="0.25">
      <c r="A255" t="s">
        <v>0</v>
      </c>
      <c r="B255" t="s">
        <v>49</v>
      </c>
      <c r="C255" t="s">
        <v>49</v>
      </c>
      <c r="D255">
        <v>302</v>
      </c>
      <c r="E255" t="s">
        <v>192</v>
      </c>
      <c r="F255" s="24">
        <v>44133</v>
      </c>
      <c r="G255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56" spans="1:8" x14ac:dyDescent="0.25">
      <c r="A256" t="s">
        <v>0</v>
      </c>
      <c r="B256" t="s">
        <v>49</v>
      </c>
      <c r="C256" t="s">
        <v>49</v>
      </c>
      <c r="D256">
        <v>721</v>
      </c>
      <c r="E256" t="s">
        <v>192</v>
      </c>
      <c r="F256" s="24">
        <v>44133</v>
      </c>
      <c r="G256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57" spans="1:8" x14ac:dyDescent="0.25">
      <c r="A257" t="s">
        <v>125</v>
      </c>
      <c r="B257" t="s">
        <v>202</v>
      </c>
      <c r="C257" t="s">
        <v>53</v>
      </c>
      <c r="D257">
        <v>822</v>
      </c>
      <c r="E257" t="s">
        <v>192</v>
      </c>
      <c r="F257" s="24">
        <v>44084</v>
      </c>
      <c r="G257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58" spans="1:8" x14ac:dyDescent="0.25">
      <c r="A258" t="s">
        <v>60</v>
      </c>
      <c r="B258" t="s">
        <v>249</v>
      </c>
      <c r="C258" t="s">
        <v>53</v>
      </c>
      <c r="D258">
        <v>1</v>
      </c>
      <c r="E258" t="s">
        <v>192</v>
      </c>
      <c r="F258" s="24">
        <v>44129</v>
      </c>
      <c r="G258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59" spans="1:8" x14ac:dyDescent="0.25">
      <c r="A259" t="s">
        <v>0</v>
      </c>
      <c r="B259" t="s">
        <v>49</v>
      </c>
      <c r="C259" t="s">
        <v>49</v>
      </c>
      <c r="D259">
        <v>857</v>
      </c>
      <c r="E259" t="s">
        <v>192</v>
      </c>
      <c r="F259" s="24">
        <v>44146</v>
      </c>
      <c r="G259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60" spans="1:8" x14ac:dyDescent="0.25">
      <c r="A260" t="s">
        <v>0</v>
      </c>
      <c r="B260" t="s">
        <v>49</v>
      </c>
      <c r="C260" t="s">
        <v>49</v>
      </c>
      <c r="D260">
        <v>647</v>
      </c>
      <c r="E260" t="s">
        <v>192</v>
      </c>
      <c r="F260" s="24">
        <v>44146</v>
      </c>
      <c r="G26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61" spans="1:8" x14ac:dyDescent="0.25">
      <c r="A261" t="s">
        <v>29</v>
      </c>
      <c r="C261" t="s">
        <v>53</v>
      </c>
      <c r="D261">
        <v>488</v>
      </c>
      <c r="E261" t="s">
        <v>192</v>
      </c>
      <c r="F261" s="24">
        <v>44070</v>
      </c>
      <c r="G261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62" spans="1:8" x14ac:dyDescent="0.25">
      <c r="A262" t="s">
        <v>29</v>
      </c>
      <c r="C262" t="s">
        <v>53</v>
      </c>
      <c r="D262">
        <v>854</v>
      </c>
      <c r="E262" t="s">
        <v>192</v>
      </c>
      <c r="F262" s="24">
        <v>44070</v>
      </c>
      <c r="G262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63" spans="1:8" x14ac:dyDescent="0.25">
      <c r="A263" t="s">
        <v>29</v>
      </c>
      <c r="C263" t="s">
        <v>53</v>
      </c>
      <c r="D263">
        <v>968</v>
      </c>
      <c r="E263" t="s">
        <v>192</v>
      </c>
      <c r="F263" s="24">
        <v>44070</v>
      </c>
      <c r="G263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64" spans="1:8" x14ac:dyDescent="0.25">
      <c r="A264" t="s">
        <v>1</v>
      </c>
      <c r="B264" t="s">
        <v>195</v>
      </c>
      <c r="C264" t="s">
        <v>53</v>
      </c>
      <c r="D264">
        <v>136</v>
      </c>
      <c r="E264" t="s">
        <v>192</v>
      </c>
      <c r="F264" s="24">
        <v>44127</v>
      </c>
      <c r="G26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65" spans="1:8" x14ac:dyDescent="0.25">
      <c r="A265" t="s">
        <v>0</v>
      </c>
      <c r="B265" t="s">
        <v>49</v>
      </c>
      <c r="C265" t="s">
        <v>49</v>
      </c>
      <c r="D265">
        <v>800</v>
      </c>
      <c r="E265" t="s">
        <v>192</v>
      </c>
      <c r="F265" s="24">
        <v>44146</v>
      </c>
      <c r="G265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66" spans="1:8" x14ac:dyDescent="0.25">
      <c r="A266" t="s">
        <v>0</v>
      </c>
      <c r="B266" t="s">
        <v>49</v>
      </c>
      <c r="C266" t="s">
        <v>49</v>
      </c>
      <c r="D266">
        <v>797</v>
      </c>
      <c r="E266" t="s">
        <v>192</v>
      </c>
      <c r="F266" s="24">
        <v>44146</v>
      </c>
      <c r="G266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67" spans="1:8" x14ac:dyDescent="0.25">
      <c r="A267" t="s">
        <v>0</v>
      </c>
      <c r="B267" t="s">
        <v>49</v>
      </c>
      <c r="C267" t="s">
        <v>49</v>
      </c>
      <c r="D267">
        <v>503</v>
      </c>
      <c r="E267" t="s">
        <v>192</v>
      </c>
      <c r="F267" s="24">
        <v>44146</v>
      </c>
      <c r="G267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267" t="s">
        <v>250</v>
      </c>
    </row>
    <row r="268" spans="1:8" x14ac:dyDescent="0.25">
      <c r="A268" t="s">
        <v>18</v>
      </c>
      <c r="B268" t="s">
        <v>63</v>
      </c>
      <c r="C268" t="s">
        <v>53</v>
      </c>
      <c r="D268">
        <v>114</v>
      </c>
      <c r="E268" t="s">
        <v>192</v>
      </c>
      <c r="F268" s="24">
        <v>44093</v>
      </c>
      <c r="G26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69" spans="1:8" x14ac:dyDescent="0.25">
      <c r="A269" t="s">
        <v>50</v>
      </c>
      <c r="C269" t="s">
        <v>53</v>
      </c>
      <c r="D269">
        <v>1484</v>
      </c>
      <c r="E269" t="s">
        <v>192</v>
      </c>
      <c r="F269" s="24">
        <v>44120</v>
      </c>
      <c r="G269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70" spans="1:8" x14ac:dyDescent="0.25">
      <c r="A270" t="s">
        <v>50</v>
      </c>
      <c r="C270" t="s">
        <v>53</v>
      </c>
      <c r="D270">
        <v>1</v>
      </c>
      <c r="E270" t="s">
        <v>192</v>
      </c>
      <c r="F270" s="24">
        <v>44120</v>
      </c>
      <c r="G27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71" spans="1:8" x14ac:dyDescent="0.25">
      <c r="A271" t="s">
        <v>50</v>
      </c>
      <c r="C271" t="s">
        <v>53</v>
      </c>
      <c r="D271">
        <v>1</v>
      </c>
      <c r="E271" t="s">
        <v>192</v>
      </c>
      <c r="F271" s="24">
        <v>44120</v>
      </c>
      <c r="G271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72" spans="1:8" x14ac:dyDescent="0.25">
      <c r="A272" t="s">
        <v>26</v>
      </c>
      <c r="B272" t="s">
        <v>63</v>
      </c>
      <c r="C272" t="s">
        <v>53</v>
      </c>
      <c r="D272">
        <v>592</v>
      </c>
      <c r="E272" t="s">
        <v>192</v>
      </c>
      <c r="F272" s="24">
        <v>44136</v>
      </c>
      <c r="G272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73" spans="1:7" x14ac:dyDescent="0.25">
      <c r="A273" t="s">
        <v>0</v>
      </c>
      <c r="B273" t="s">
        <v>49</v>
      </c>
      <c r="C273" t="s">
        <v>49</v>
      </c>
      <c r="D273">
        <v>1</v>
      </c>
      <c r="E273" t="s">
        <v>192</v>
      </c>
      <c r="F273" s="24">
        <v>44114</v>
      </c>
      <c r="G273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74" spans="1:7" x14ac:dyDescent="0.25">
      <c r="A274" t="s">
        <v>0</v>
      </c>
      <c r="B274" t="s">
        <v>49</v>
      </c>
      <c r="C274" t="s">
        <v>49</v>
      </c>
      <c r="D274">
        <v>1</v>
      </c>
      <c r="E274" t="s">
        <v>192</v>
      </c>
      <c r="F274" s="24">
        <v>44114</v>
      </c>
      <c r="G27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75" spans="1:7" x14ac:dyDescent="0.25">
      <c r="A275" t="s">
        <v>0</v>
      </c>
      <c r="B275" t="s">
        <v>49</v>
      </c>
      <c r="C275" t="s">
        <v>49</v>
      </c>
      <c r="D275">
        <v>1</v>
      </c>
      <c r="E275" t="s">
        <v>192</v>
      </c>
      <c r="F275" s="24">
        <v>44114</v>
      </c>
      <c r="G275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76" spans="1:7" x14ac:dyDescent="0.25">
      <c r="A276" t="s">
        <v>0</v>
      </c>
      <c r="B276" t="s">
        <v>49</v>
      </c>
      <c r="C276" t="s">
        <v>49</v>
      </c>
      <c r="D276">
        <v>1</v>
      </c>
      <c r="E276" t="s">
        <v>192</v>
      </c>
      <c r="F276" s="24">
        <v>44114</v>
      </c>
      <c r="G276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77" spans="1:7" x14ac:dyDescent="0.25">
      <c r="A277" t="s">
        <v>0</v>
      </c>
      <c r="B277" t="s">
        <v>49</v>
      </c>
      <c r="C277" t="s">
        <v>49</v>
      </c>
      <c r="D277">
        <v>1</v>
      </c>
      <c r="E277" t="s">
        <v>192</v>
      </c>
      <c r="F277" s="24">
        <v>44114</v>
      </c>
      <c r="G277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78" spans="1:7" x14ac:dyDescent="0.25">
      <c r="F278" s="24"/>
      <c r="G278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79" spans="1:7" x14ac:dyDescent="0.25">
      <c r="A279" t="s">
        <v>1</v>
      </c>
      <c r="C279" t="s">
        <v>53</v>
      </c>
      <c r="D279">
        <v>1</v>
      </c>
      <c r="E279" t="s">
        <v>192</v>
      </c>
      <c r="F279" s="24">
        <v>44114</v>
      </c>
      <c r="G279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80" spans="1:7" x14ac:dyDescent="0.25">
      <c r="A280" t="s">
        <v>1</v>
      </c>
      <c r="C280" t="s">
        <v>53</v>
      </c>
      <c r="D280">
        <v>1</v>
      </c>
      <c r="E280" t="s">
        <v>192</v>
      </c>
      <c r="F280" s="24">
        <v>44114</v>
      </c>
      <c r="G28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81" spans="1:7" x14ac:dyDescent="0.25">
      <c r="A281" t="s">
        <v>1</v>
      </c>
      <c r="C281" t="s">
        <v>53</v>
      </c>
      <c r="D281">
        <v>1</v>
      </c>
      <c r="E281" t="s">
        <v>192</v>
      </c>
      <c r="F281" s="24">
        <v>44114</v>
      </c>
      <c r="G281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82" spans="1:7" x14ac:dyDescent="0.25">
      <c r="A282" t="s">
        <v>1</v>
      </c>
      <c r="C282" t="s">
        <v>53</v>
      </c>
      <c r="D282">
        <v>1</v>
      </c>
      <c r="E282" t="s">
        <v>192</v>
      </c>
      <c r="F282" s="24">
        <v>44114</v>
      </c>
      <c r="G282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83" spans="1:7" x14ac:dyDescent="0.25">
      <c r="A283" t="s">
        <v>50</v>
      </c>
      <c r="C283" t="s">
        <v>53</v>
      </c>
      <c r="D283">
        <v>1242</v>
      </c>
      <c r="E283" t="s">
        <v>192</v>
      </c>
      <c r="F283" s="24">
        <v>44137</v>
      </c>
      <c r="G283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84" spans="1:7" x14ac:dyDescent="0.25">
      <c r="A284" t="s">
        <v>50</v>
      </c>
      <c r="C284" t="s">
        <v>53</v>
      </c>
      <c r="D284">
        <v>1259</v>
      </c>
      <c r="E284" t="s">
        <v>192</v>
      </c>
      <c r="F284" s="24">
        <v>44137</v>
      </c>
      <c r="G28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85" spans="1:7" x14ac:dyDescent="0.25">
      <c r="A285" t="s">
        <v>50</v>
      </c>
      <c r="C285" t="s">
        <v>53</v>
      </c>
      <c r="D285">
        <v>1285</v>
      </c>
      <c r="E285" t="s">
        <v>192</v>
      </c>
      <c r="F285" s="24">
        <v>44137</v>
      </c>
      <c r="G285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86" spans="1:7" x14ac:dyDescent="0.25">
      <c r="A286" t="s">
        <v>50</v>
      </c>
      <c r="C286" t="s">
        <v>53</v>
      </c>
      <c r="D286">
        <v>1367</v>
      </c>
      <c r="E286" t="s">
        <v>192</v>
      </c>
      <c r="F286" s="24">
        <v>44137</v>
      </c>
      <c r="G286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87" spans="1:7" x14ac:dyDescent="0.25">
      <c r="A287" t="s">
        <v>50</v>
      </c>
      <c r="C287" t="s">
        <v>53</v>
      </c>
      <c r="D287">
        <v>1117</v>
      </c>
      <c r="E287" t="s">
        <v>192</v>
      </c>
      <c r="F287" s="24">
        <v>44137</v>
      </c>
      <c r="G287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88" spans="1:7" x14ac:dyDescent="0.25">
      <c r="A288" t="s">
        <v>50</v>
      </c>
      <c r="C288" t="s">
        <v>53</v>
      </c>
      <c r="D288">
        <v>1249</v>
      </c>
      <c r="E288" t="s">
        <v>192</v>
      </c>
      <c r="F288" s="24">
        <v>44137</v>
      </c>
      <c r="G288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89" spans="1:8" x14ac:dyDescent="0.25">
      <c r="A289" t="s">
        <v>50</v>
      </c>
      <c r="C289" t="s">
        <v>53</v>
      </c>
      <c r="D289">
        <v>1374</v>
      </c>
      <c r="E289" t="s">
        <v>192</v>
      </c>
      <c r="F289" s="24">
        <v>44137</v>
      </c>
      <c r="G289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90" spans="1:8" x14ac:dyDescent="0.25">
      <c r="A290" t="s">
        <v>50</v>
      </c>
      <c r="C290" t="s">
        <v>53</v>
      </c>
      <c r="D290">
        <v>1114</v>
      </c>
      <c r="E290" t="s">
        <v>192</v>
      </c>
      <c r="F290" s="24">
        <v>44140</v>
      </c>
      <c r="G29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91" spans="1:8" x14ac:dyDescent="0.25">
      <c r="A291" t="s">
        <v>50</v>
      </c>
      <c r="C291" t="s">
        <v>53</v>
      </c>
      <c r="D291">
        <v>1341</v>
      </c>
      <c r="E291" t="s">
        <v>192</v>
      </c>
      <c r="F291" s="24">
        <v>44140</v>
      </c>
      <c r="G291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92" spans="1:8" x14ac:dyDescent="0.25">
      <c r="A292" t="s">
        <v>50</v>
      </c>
      <c r="C292" t="s">
        <v>53</v>
      </c>
      <c r="D292">
        <v>1373</v>
      </c>
      <c r="E292" t="s">
        <v>192</v>
      </c>
      <c r="F292" s="24">
        <v>44140</v>
      </c>
      <c r="G292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293" spans="1:8" x14ac:dyDescent="0.25">
      <c r="A293" t="s">
        <v>2</v>
      </c>
      <c r="B293" t="s">
        <v>194</v>
      </c>
      <c r="C293" t="s">
        <v>47</v>
      </c>
      <c r="D293">
        <v>1802</v>
      </c>
      <c r="E293" t="s">
        <v>192</v>
      </c>
      <c r="F293" s="23">
        <v>44076</v>
      </c>
      <c r="G293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94" spans="1:8" x14ac:dyDescent="0.25">
      <c r="A294" t="s">
        <v>2</v>
      </c>
      <c r="B294" t="s">
        <v>251</v>
      </c>
      <c r="C294" t="s">
        <v>53</v>
      </c>
      <c r="D294">
        <v>170</v>
      </c>
      <c r="E294" t="s">
        <v>192</v>
      </c>
      <c r="F294" s="24">
        <v>44094</v>
      </c>
      <c r="G29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95" spans="1:8" x14ac:dyDescent="0.25">
      <c r="A295" t="s">
        <v>2</v>
      </c>
      <c r="B295" t="s">
        <v>63</v>
      </c>
      <c r="C295" t="s">
        <v>53</v>
      </c>
      <c r="D295">
        <v>1008</v>
      </c>
      <c r="E295" t="s">
        <v>192</v>
      </c>
      <c r="F295" s="24">
        <v>44133</v>
      </c>
      <c r="G295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96" spans="1:8" x14ac:dyDescent="0.25">
      <c r="A296" t="s">
        <v>2</v>
      </c>
      <c r="B296" t="s">
        <v>63</v>
      </c>
      <c r="C296" t="s">
        <v>53</v>
      </c>
      <c r="D296">
        <v>1170</v>
      </c>
      <c r="E296" t="s">
        <v>192</v>
      </c>
      <c r="F296" s="24">
        <v>44136</v>
      </c>
      <c r="G296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97" spans="1:8" x14ac:dyDescent="0.25">
      <c r="A297" t="s">
        <v>2</v>
      </c>
      <c r="B297" t="s">
        <v>63</v>
      </c>
      <c r="C297" t="s">
        <v>53</v>
      </c>
      <c r="D297">
        <v>214</v>
      </c>
      <c r="E297" t="s">
        <v>192</v>
      </c>
      <c r="F297" s="24">
        <v>44136</v>
      </c>
      <c r="G297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98" spans="1:8" x14ac:dyDescent="0.25">
      <c r="A298" t="s">
        <v>21</v>
      </c>
      <c r="C298" t="s">
        <v>53</v>
      </c>
      <c r="D298">
        <v>16</v>
      </c>
      <c r="E298" t="s">
        <v>192</v>
      </c>
      <c r="F298" s="24">
        <v>44137</v>
      </c>
      <c r="G298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299" spans="1:8" x14ac:dyDescent="0.25">
      <c r="A299" t="s">
        <v>21</v>
      </c>
      <c r="C299" t="s">
        <v>53</v>
      </c>
      <c r="D299">
        <v>106</v>
      </c>
      <c r="E299" t="s">
        <v>192</v>
      </c>
      <c r="F299" s="24">
        <v>44140</v>
      </c>
      <c r="G299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00" spans="1:8" x14ac:dyDescent="0.25">
      <c r="A300" t="s">
        <v>21</v>
      </c>
      <c r="C300" t="s">
        <v>53</v>
      </c>
      <c r="D300">
        <v>55</v>
      </c>
      <c r="E300" t="s">
        <v>192</v>
      </c>
      <c r="F300" s="24">
        <v>44140</v>
      </c>
      <c r="G30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01" spans="1:8" x14ac:dyDescent="0.25">
      <c r="A301" t="s">
        <v>21</v>
      </c>
      <c r="C301" t="s">
        <v>53</v>
      </c>
      <c r="D301">
        <v>15</v>
      </c>
      <c r="E301" t="s">
        <v>192</v>
      </c>
      <c r="F301" s="24">
        <v>44137</v>
      </c>
      <c r="G301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02" spans="1:8" x14ac:dyDescent="0.25">
      <c r="A302" t="s">
        <v>21</v>
      </c>
      <c r="C302" t="s">
        <v>53</v>
      </c>
      <c r="D302">
        <v>10</v>
      </c>
      <c r="E302" t="s">
        <v>192</v>
      </c>
      <c r="F302" s="24">
        <v>44136</v>
      </c>
      <c r="G302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302" t="s">
        <v>253</v>
      </c>
    </row>
    <row r="303" spans="1:8" x14ac:dyDescent="0.25">
      <c r="A303" t="s">
        <v>21</v>
      </c>
      <c r="C303" t="s">
        <v>53</v>
      </c>
      <c r="D303">
        <v>10</v>
      </c>
      <c r="E303" t="s">
        <v>192</v>
      </c>
      <c r="F303" s="24">
        <v>44136</v>
      </c>
      <c r="G303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  <c r="H303" t="s">
        <v>253</v>
      </c>
    </row>
    <row r="304" spans="1:8" x14ac:dyDescent="0.25">
      <c r="A304" t="s">
        <v>13</v>
      </c>
      <c r="B304" t="s">
        <v>248</v>
      </c>
      <c r="C304" t="s">
        <v>53</v>
      </c>
      <c r="D304">
        <v>130</v>
      </c>
      <c r="E304" t="s">
        <v>192</v>
      </c>
      <c r="F304" s="24">
        <v>44123</v>
      </c>
      <c r="G30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05" spans="1:7" x14ac:dyDescent="0.25">
      <c r="F305" s="24"/>
      <c r="G305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06" spans="1:7" x14ac:dyDescent="0.25">
      <c r="A306" t="s">
        <v>14</v>
      </c>
      <c r="B306" t="s">
        <v>63</v>
      </c>
      <c r="C306" t="s">
        <v>53</v>
      </c>
      <c r="D306">
        <v>839</v>
      </c>
      <c r="E306" t="s">
        <v>192</v>
      </c>
      <c r="F306" s="24">
        <v>44133</v>
      </c>
      <c r="G306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07" spans="1:7" x14ac:dyDescent="0.25">
      <c r="A307" t="s">
        <v>1</v>
      </c>
      <c r="C307" t="s">
        <v>53</v>
      </c>
      <c r="D307">
        <v>318</v>
      </c>
      <c r="E307" t="s">
        <v>192</v>
      </c>
      <c r="F307" s="24">
        <v>44039</v>
      </c>
      <c r="G307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08" spans="1:7" x14ac:dyDescent="0.25">
      <c r="A308" t="s">
        <v>1</v>
      </c>
      <c r="B308" t="s">
        <v>195</v>
      </c>
      <c r="C308" t="s">
        <v>53</v>
      </c>
      <c r="D308">
        <v>118</v>
      </c>
      <c r="E308" t="s">
        <v>192</v>
      </c>
      <c r="F308" s="24">
        <v>44076</v>
      </c>
      <c r="G30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09" spans="1:7" x14ac:dyDescent="0.25">
      <c r="A309" t="s">
        <v>1</v>
      </c>
      <c r="B309" t="s">
        <v>195</v>
      </c>
      <c r="C309" t="s">
        <v>53</v>
      </c>
      <c r="D309">
        <v>151</v>
      </c>
      <c r="E309" t="s">
        <v>192</v>
      </c>
      <c r="F309" s="24">
        <v>44076</v>
      </c>
      <c r="G309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10" spans="1:7" x14ac:dyDescent="0.25">
      <c r="A310" t="s">
        <v>1</v>
      </c>
      <c r="C310" t="s">
        <v>53</v>
      </c>
      <c r="D310">
        <v>197</v>
      </c>
      <c r="E310" t="s">
        <v>192</v>
      </c>
      <c r="F310" s="24">
        <v>44120</v>
      </c>
      <c r="G31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11" spans="1:7" x14ac:dyDescent="0.25">
      <c r="A311" t="s">
        <v>1</v>
      </c>
      <c r="C311" t="s">
        <v>53</v>
      </c>
      <c r="D311">
        <v>268</v>
      </c>
      <c r="E311" t="s">
        <v>192</v>
      </c>
      <c r="F311" s="24">
        <v>44146</v>
      </c>
      <c r="G311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12" spans="1:7" x14ac:dyDescent="0.25">
      <c r="A312" t="s">
        <v>1</v>
      </c>
      <c r="C312" t="s">
        <v>53</v>
      </c>
      <c r="D312">
        <v>223</v>
      </c>
      <c r="E312" t="s">
        <v>192</v>
      </c>
      <c r="F312" s="24">
        <v>44146</v>
      </c>
      <c r="G312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13" spans="1:7" x14ac:dyDescent="0.25">
      <c r="A313" t="s">
        <v>1</v>
      </c>
      <c r="C313" t="s">
        <v>53</v>
      </c>
      <c r="D313">
        <v>246</v>
      </c>
      <c r="E313" t="s">
        <v>192</v>
      </c>
      <c r="F313" s="24">
        <v>44146</v>
      </c>
      <c r="G313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14" spans="1:7" x14ac:dyDescent="0.25">
      <c r="A314" t="s">
        <v>1</v>
      </c>
      <c r="C314" t="s">
        <v>53</v>
      </c>
      <c r="D314">
        <v>156</v>
      </c>
      <c r="E314" t="s">
        <v>192</v>
      </c>
      <c r="F314" s="24">
        <v>44146</v>
      </c>
      <c r="G31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15" spans="1:7" x14ac:dyDescent="0.25">
      <c r="A315" t="s">
        <v>1</v>
      </c>
      <c r="C315" t="s">
        <v>53</v>
      </c>
      <c r="D315">
        <v>280</v>
      </c>
      <c r="E315" t="s">
        <v>192</v>
      </c>
      <c r="F315" s="24">
        <v>44146</v>
      </c>
      <c r="G315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16" spans="1:7" x14ac:dyDescent="0.25">
      <c r="A316" t="s">
        <v>1</v>
      </c>
      <c r="C316" t="s">
        <v>53</v>
      </c>
      <c r="D316">
        <v>308</v>
      </c>
      <c r="E316" t="s">
        <v>192</v>
      </c>
      <c r="F316" s="24">
        <v>44146</v>
      </c>
      <c r="G316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17" spans="1:7" x14ac:dyDescent="0.25">
      <c r="A317" t="s">
        <v>1</v>
      </c>
      <c r="C317" t="s">
        <v>53</v>
      </c>
      <c r="D317">
        <v>277</v>
      </c>
      <c r="E317" t="s">
        <v>192</v>
      </c>
      <c r="F317" s="24">
        <v>44146</v>
      </c>
      <c r="G317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18" spans="1:7" x14ac:dyDescent="0.25">
      <c r="A318" t="s">
        <v>50</v>
      </c>
      <c r="C318" t="s">
        <v>53</v>
      </c>
      <c r="D318">
        <v>964</v>
      </c>
      <c r="E318" t="s">
        <v>192</v>
      </c>
      <c r="F318" s="24">
        <v>44068</v>
      </c>
      <c r="G318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319" spans="1:7" x14ac:dyDescent="0.25">
      <c r="A319" t="s">
        <v>50</v>
      </c>
      <c r="C319" t="s">
        <v>53</v>
      </c>
      <c r="D319">
        <v>1334</v>
      </c>
      <c r="E319" t="s">
        <v>192</v>
      </c>
      <c r="F319" s="24">
        <v>44120</v>
      </c>
      <c r="G319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320" spans="1:7" x14ac:dyDescent="0.25">
      <c r="A320" t="s">
        <v>50</v>
      </c>
      <c r="C320" t="s">
        <v>53</v>
      </c>
      <c r="D320">
        <v>1409</v>
      </c>
      <c r="E320" t="s">
        <v>192</v>
      </c>
      <c r="F320" s="24">
        <v>44120</v>
      </c>
      <c r="G32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321" spans="1:7" x14ac:dyDescent="0.25">
      <c r="A321" t="s">
        <v>50</v>
      </c>
      <c r="C321" t="s">
        <v>53</v>
      </c>
      <c r="D321">
        <v>1348</v>
      </c>
      <c r="E321" t="s">
        <v>192</v>
      </c>
      <c r="F321" s="24">
        <v>44120</v>
      </c>
      <c r="G321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NE</v>
      </c>
    </row>
    <row r="322" spans="1:7" x14ac:dyDescent="0.25">
      <c r="F322" s="24"/>
      <c r="G322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23" spans="1:7" x14ac:dyDescent="0.25">
      <c r="A323" t="s">
        <v>175</v>
      </c>
      <c r="B323" t="s">
        <v>63</v>
      </c>
      <c r="C323" t="s">
        <v>53</v>
      </c>
      <c r="D323">
        <v>800</v>
      </c>
      <c r="E323" t="s">
        <v>192</v>
      </c>
      <c r="F323" s="24">
        <v>44147</v>
      </c>
      <c r="G323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24" spans="1:7" x14ac:dyDescent="0.25">
      <c r="A324" t="s">
        <v>90</v>
      </c>
      <c r="B324" t="s">
        <v>63</v>
      </c>
      <c r="C324" t="s">
        <v>53</v>
      </c>
      <c r="D324">
        <v>910</v>
      </c>
      <c r="E324" t="s">
        <v>192</v>
      </c>
      <c r="F324" s="24">
        <v>44147</v>
      </c>
      <c r="G32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25" spans="1:7" x14ac:dyDescent="0.25">
      <c r="A325" t="s">
        <v>21</v>
      </c>
      <c r="C325" t="s">
        <v>53</v>
      </c>
      <c r="D325">
        <v>38</v>
      </c>
      <c r="E325" t="s">
        <v>192</v>
      </c>
      <c r="F325" s="24">
        <v>44151</v>
      </c>
      <c r="G325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26" spans="1:7" x14ac:dyDescent="0.25">
      <c r="A326" t="s">
        <v>21</v>
      </c>
      <c r="C326" t="s">
        <v>53</v>
      </c>
      <c r="D326">
        <v>34</v>
      </c>
      <c r="E326" t="s">
        <v>192</v>
      </c>
      <c r="F326" s="24">
        <v>44151</v>
      </c>
      <c r="G326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27" spans="1:7" x14ac:dyDescent="0.25">
      <c r="A327" t="s">
        <v>21</v>
      </c>
      <c r="C327" t="s">
        <v>53</v>
      </c>
      <c r="D327">
        <v>26</v>
      </c>
      <c r="E327" t="s">
        <v>192</v>
      </c>
      <c r="F327" s="24">
        <v>44151</v>
      </c>
      <c r="G327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28" spans="1:7" x14ac:dyDescent="0.25">
      <c r="A328" t="s">
        <v>21</v>
      </c>
      <c r="C328" t="s">
        <v>53</v>
      </c>
      <c r="D328">
        <v>26</v>
      </c>
      <c r="E328" t="s">
        <v>192</v>
      </c>
      <c r="F328" s="24">
        <v>44151</v>
      </c>
      <c r="G328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29" spans="1:7" x14ac:dyDescent="0.25">
      <c r="A329" t="s">
        <v>0</v>
      </c>
      <c r="C329" t="s">
        <v>53</v>
      </c>
      <c r="D329">
        <v>294</v>
      </c>
      <c r="E329" t="s">
        <v>192</v>
      </c>
      <c r="F329" s="24">
        <v>44151</v>
      </c>
      <c r="G329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30" spans="1:7" x14ac:dyDescent="0.25">
      <c r="A330" t="s">
        <v>92</v>
      </c>
      <c r="C330" t="s">
        <v>53</v>
      </c>
      <c r="D330">
        <v>1</v>
      </c>
      <c r="E330" t="s">
        <v>192</v>
      </c>
      <c r="F330" s="24">
        <v>44151</v>
      </c>
      <c r="G330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31" spans="1:7" x14ac:dyDescent="0.25">
      <c r="A331" t="s">
        <v>92</v>
      </c>
      <c r="C331" t="s">
        <v>53</v>
      </c>
      <c r="D331">
        <v>1</v>
      </c>
      <c r="E331" t="s">
        <v>192</v>
      </c>
      <c r="F331" s="24">
        <v>44151</v>
      </c>
      <c r="G331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32" spans="1:7" x14ac:dyDescent="0.25">
      <c r="A332" t="s">
        <v>92</v>
      </c>
      <c r="C332" t="s">
        <v>53</v>
      </c>
      <c r="D332">
        <v>1</v>
      </c>
      <c r="E332" t="s">
        <v>192</v>
      </c>
      <c r="F332" s="24">
        <v>44151</v>
      </c>
      <c r="G332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33" spans="1:7" x14ac:dyDescent="0.25">
      <c r="A333" t="s">
        <v>92</v>
      </c>
      <c r="C333" t="s">
        <v>53</v>
      </c>
      <c r="D333">
        <v>1</v>
      </c>
      <c r="E333" t="s">
        <v>192</v>
      </c>
      <c r="F333" s="24">
        <v>44151</v>
      </c>
      <c r="G333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  <row r="334" spans="1:7" x14ac:dyDescent="0.25">
      <c r="A334" t="s">
        <v>60</v>
      </c>
      <c r="C334" t="s">
        <v>53</v>
      </c>
      <c r="D334">
        <v>1</v>
      </c>
      <c r="E334" t="s">
        <v>192</v>
      </c>
      <c r="F334" s="24">
        <v>44151</v>
      </c>
      <c r="G334" s="48" t="str">
        <f>IF(COUNTIFS(Tabela_izhod[Klas. št. ],Tabela_vhod[[#This Row],[Klas. št. ]],Tabela_izhod[Opomba],Tabela_vhod[[#This Row],[Opomba]],Tabela_izhod[Teža (kg)  ],Tabela_vhod[[#This Row],[Teža (kg)]],Tabela_izhod[Datum izvoza],"&gt;"&amp;Tabela_vhod[[#This Row],[Datum sprejema]])&gt;0,"NE","DA")</f>
        <v>DA</v>
      </c>
    </row>
  </sheetData>
  <phoneticPr fontId="3" type="noConversion"/>
  <pageMargins left="0.7" right="0.7" top="0.75" bottom="0.75" header="0.3" footer="0.3"/>
  <pageSetup paperSize="9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8C5E8BC-E008-48C9-A462-81199924527B}">
          <x14:formula1>
            <xm:f>Podatki!$G$2:$G$50</xm:f>
          </x14:formula1>
          <xm:sqref>E2:E334</xm:sqref>
        </x14:dataValidation>
        <x14:dataValidation type="list" allowBlank="1" showInputMessage="1" showErrorMessage="1" xr:uid="{70F36BED-D378-4859-A8F4-257E155EA70B}">
          <x14:formula1>
            <xm:f>Podatki!$E$2:$E$29</xm:f>
          </x14:formula1>
          <xm:sqref>B300:B304 C2:C1623</xm:sqref>
        </x14:dataValidation>
        <x14:dataValidation type="list" allowBlank="1" showInputMessage="1" showErrorMessage="1" xr:uid="{1A38CCB9-F76F-4643-90C9-069E0CAC5FB2}">
          <x14:formula1>
            <xm:f>Podatki!$A$2:$A$98</xm:f>
          </x14:formula1>
          <xm:sqref>A2:A100010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12895-8C1C-4AD1-9D88-00B03849A552}">
  <dimension ref="A1:L297"/>
  <sheetViews>
    <sheetView workbookViewId="0">
      <pane ySplit="1" topLeftCell="A265" activePane="bottomLeft" state="frozen"/>
      <selection pane="bottomLeft" activeCell="B296" sqref="B296"/>
    </sheetView>
  </sheetViews>
  <sheetFormatPr defaultRowHeight="15" x14ac:dyDescent="0.25"/>
  <cols>
    <col min="1" max="1" width="22.7109375" customWidth="1"/>
    <col min="2" max="2" width="20" customWidth="1"/>
    <col min="3" max="3" width="13.5703125" customWidth="1"/>
    <col min="4" max="4" width="18" customWidth="1"/>
    <col min="5" max="5" width="13.5703125" customWidth="1"/>
    <col min="6" max="6" width="72.140625" customWidth="1"/>
  </cols>
  <sheetData>
    <row r="1" spans="1:12" ht="17.25" customHeight="1" x14ac:dyDescent="0.25">
      <c r="A1" s="8" t="s">
        <v>15</v>
      </c>
      <c r="B1" s="8" t="s">
        <v>37</v>
      </c>
      <c r="C1" s="9" t="s">
        <v>39</v>
      </c>
      <c r="D1" s="10" t="s">
        <v>45</v>
      </c>
      <c r="E1" s="75" t="s">
        <v>196</v>
      </c>
      <c r="F1" s="37" t="s">
        <v>69</v>
      </c>
    </row>
    <row r="2" spans="1:12" x14ac:dyDescent="0.25">
      <c r="A2" s="11" t="s">
        <v>13</v>
      </c>
      <c r="B2" s="11" t="s">
        <v>53</v>
      </c>
      <c r="C2" s="52">
        <v>292</v>
      </c>
      <c r="D2" s="23">
        <v>44042</v>
      </c>
      <c r="E2" s="23"/>
      <c r="F2" t="s">
        <v>70</v>
      </c>
    </row>
    <row r="3" spans="1:12" x14ac:dyDescent="0.25">
      <c r="A3" s="11" t="s">
        <v>13</v>
      </c>
      <c r="B3" t="s">
        <v>53</v>
      </c>
      <c r="C3" s="53">
        <v>581</v>
      </c>
      <c r="D3" s="23">
        <v>44042</v>
      </c>
      <c r="E3" s="23"/>
      <c r="F3" t="s">
        <v>70</v>
      </c>
    </row>
    <row r="4" spans="1:12" x14ac:dyDescent="0.25">
      <c r="A4" s="11" t="s">
        <v>13</v>
      </c>
      <c r="B4" t="s">
        <v>53</v>
      </c>
      <c r="C4" s="53">
        <v>189</v>
      </c>
      <c r="D4" s="23">
        <v>44042</v>
      </c>
      <c r="E4" s="23"/>
      <c r="F4" t="s">
        <v>70</v>
      </c>
    </row>
    <row r="5" spans="1:12" x14ac:dyDescent="0.25">
      <c r="A5" s="11" t="s">
        <v>13</v>
      </c>
      <c r="B5" t="s">
        <v>53</v>
      </c>
      <c r="C5" s="53">
        <v>581</v>
      </c>
      <c r="D5" s="23">
        <v>44042</v>
      </c>
      <c r="E5" s="23"/>
      <c r="F5" t="s">
        <v>70</v>
      </c>
      <c r="I5" s="35"/>
      <c r="J5" s="36"/>
      <c r="K5" s="36"/>
      <c r="L5" s="36"/>
    </row>
    <row r="6" spans="1:12" x14ac:dyDescent="0.25">
      <c r="A6" t="s">
        <v>14</v>
      </c>
      <c r="B6" t="s">
        <v>53</v>
      </c>
      <c r="C6" s="53">
        <v>719</v>
      </c>
      <c r="D6" s="24">
        <v>44049</v>
      </c>
      <c r="E6" s="24"/>
      <c r="F6" t="s">
        <v>86</v>
      </c>
    </row>
    <row r="7" spans="1:12" x14ac:dyDescent="0.25">
      <c r="A7" t="s">
        <v>27</v>
      </c>
      <c r="B7" t="s">
        <v>48</v>
      </c>
      <c r="C7" s="53">
        <v>350</v>
      </c>
      <c r="D7" s="24">
        <v>44049</v>
      </c>
      <c r="E7" s="24"/>
      <c r="F7" t="s">
        <v>86</v>
      </c>
    </row>
    <row r="8" spans="1:12" x14ac:dyDescent="0.25">
      <c r="A8" t="s">
        <v>13</v>
      </c>
      <c r="B8" t="s">
        <v>53</v>
      </c>
      <c r="C8" s="53">
        <v>224</v>
      </c>
      <c r="D8" s="24">
        <v>44049</v>
      </c>
      <c r="E8" s="24"/>
      <c r="F8" t="s">
        <v>86</v>
      </c>
    </row>
    <row r="9" spans="1:12" x14ac:dyDescent="0.25">
      <c r="A9" t="s">
        <v>24</v>
      </c>
      <c r="B9" t="s">
        <v>53</v>
      </c>
      <c r="C9" s="53">
        <v>660</v>
      </c>
      <c r="D9" s="24">
        <v>44049</v>
      </c>
      <c r="E9" s="24"/>
      <c r="F9" t="s">
        <v>86</v>
      </c>
    </row>
    <row r="10" spans="1:12" x14ac:dyDescent="0.25">
      <c r="A10" t="s">
        <v>13</v>
      </c>
      <c r="B10" t="s">
        <v>53</v>
      </c>
      <c r="C10" s="53">
        <v>429</v>
      </c>
      <c r="D10" s="24">
        <v>44049</v>
      </c>
      <c r="E10" s="24"/>
      <c r="F10" t="s">
        <v>86</v>
      </c>
    </row>
    <row r="11" spans="1:12" x14ac:dyDescent="0.25">
      <c r="A11" t="s">
        <v>13</v>
      </c>
      <c r="B11" t="s">
        <v>53</v>
      </c>
      <c r="C11" s="53">
        <v>487</v>
      </c>
      <c r="D11" s="24">
        <v>44049</v>
      </c>
      <c r="E11" s="24"/>
      <c r="F11" t="s">
        <v>86</v>
      </c>
    </row>
    <row r="12" spans="1:12" x14ac:dyDescent="0.25">
      <c r="A12" t="s">
        <v>13</v>
      </c>
      <c r="B12" t="s">
        <v>53</v>
      </c>
      <c r="C12" s="53">
        <v>860</v>
      </c>
      <c r="D12" s="24">
        <v>44049</v>
      </c>
      <c r="E12" s="24"/>
      <c r="F12" t="s">
        <v>86</v>
      </c>
    </row>
    <row r="13" spans="1:12" x14ac:dyDescent="0.25">
      <c r="A13" t="s">
        <v>13</v>
      </c>
      <c r="B13" t="s">
        <v>53</v>
      </c>
      <c r="C13" s="53">
        <v>988</v>
      </c>
      <c r="D13" s="24">
        <v>44049</v>
      </c>
      <c r="E13" s="24"/>
      <c r="F13" t="s">
        <v>86</v>
      </c>
    </row>
    <row r="14" spans="1:12" x14ac:dyDescent="0.25">
      <c r="A14" t="s">
        <v>13</v>
      </c>
      <c r="B14" t="s">
        <v>53</v>
      </c>
      <c r="C14" s="53">
        <v>129</v>
      </c>
      <c r="D14" s="24">
        <v>44049</v>
      </c>
      <c r="E14" s="24"/>
      <c r="F14" t="s">
        <v>86</v>
      </c>
    </row>
    <row r="15" spans="1:12" x14ac:dyDescent="0.25">
      <c r="A15" t="s">
        <v>21</v>
      </c>
      <c r="B15" t="s">
        <v>53</v>
      </c>
      <c r="C15">
        <v>17</v>
      </c>
      <c r="D15" s="24">
        <v>44048</v>
      </c>
      <c r="E15" s="24"/>
    </row>
    <row r="16" spans="1:12" x14ac:dyDescent="0.25">
      <c r="A16" t="s">
        <v>21</v>
      </c>
      <c r="B16" t="s">
        <v>53</v>
      </c>
      <c r="C16">
        <v>19</v>
      </c>
      <c r="D16" s="24">
        <v>44048</v>
      </c>
      <c r="E16" s="24"/>
    </row>
    <row r="17" spans="1:6" x14ac:dyDescent="0.25">
      <c r="A17" t="s">
        <v>21</v>
      </c>
      <c r="B17" t="s">
        <v>53</v>
      </c>
      <c r="C17">
        <v>27</v>
      </c>
      <c r="D17" s="24">
        <v>44048</v>
      </c>
      <c r="E17" s="24"/>
    </row>
    <row r="18" spans="1:6" x14ac:dyDescent="0.25">
      <c r="A18" t="s">
        <v>21</v>
      </c>
      <c r="B18" t="s">
        <v>53</v>
      </c>
      <c r="C18">
        <v>23</v>
      </c>
      <c r="D18" s="24">
        <v>44048</v>
      </c>
      <c r="E18" s="24"/>
    </row>
    <row r="19" spans="1:6" x14ac:dyDescent="0.25">
      <c r="A19" t="s">
        <v>21</v>
      </c>
      <c r="B19" t="s">
        <v>53</v>
      </c>
      <c r="C19">
        <v>26</v>
      </c>
      <c r="D19" s="24">
        <v>44048</v>
      </c>
      <c r="E19" s="24"/>
    </row>
    <row r="20" spans="1:6" x14ac:dyDescent="0.25">
      <c r="A20" t="s">
        <v>21</v>
      </c>
      <c r="B20" t="s">
        <v>53</v>
      </c>
      <c r="C20">
        <v>17</v>
      </c>
      <c r="D20" s="24">
        <v>44048</v>
      </c>
      <c r="E20" s="24"/>
    </row>
    <row r="21" spans="1:6" x14ac:dyDescent="0.25">
      <c r="A21" t="s">
        <v>4</v>
      </c>
      <c r="B21" t="s">
        <v>53</v>
      </c>
      <c r="C21">
        <v>556</v>
      </c>
      <c r="D21" s="24">
        <v>44055</v>
      </c>
      <c r="E21" s="24"/>
      <c r="F21" t="s">
        <v>87</v>
      </c>
    </row>
    <row r="22" spans="1:6" x14ac:dyDescent="0.25">
      <c r="A22" t="s">
        <v>4</v>
      </c>
      <c r="B22" t="s">
        <v>53</v>
      </c>
      <c r="C22">
        <v>537</v>
      </c>
      <c r="D22" s="24">
        <v>44055</v>
      </c>
      <c r="E22" s="24"/>
      <c r="F22" t="s">
        <v>87</v>
      </c>
    </row>
    <row r="23" spans="1:6" x14ac:dyDescent="0.25">
      <c r="A23" t="s">
        <v>4</v>
      </c>
      <c r="B23" t="s">
        <v>53</v>
      </c>
      <c r="C23">
        <v>402</v>
      </c>
      <c r="D23" s="24">
        <v>44055</v>
      </c>
      <c r="E23" s="24"/>
      <c r="F23" t="s">
        <v>87</v>
      </c>
    </row>
    <row r="24" spans="1:6" x14ac:dyDescent="0.25">
      <c r="A24" t="s">
        <v>4</v>
      </c>
      <c r="B24" t="s">
        <v>53</v>
      </c>
      <c r="C24">
        <v>237</v>
      </c>
      <c r="D24" s="24">
        <v>44056</v>
      </c>
      <c r="E24" s="24"/>
      <c r="F24" t="s">
        <v>86</v>
      </c>
    </row>
    <row r="25" spans="1:6" x14ac:dyDescent="0.25">
      <c r="A25" s="54" t="s">
        <v>4</v>
      </c>
      <c r="B25" t="s">
        <v>53</v>
      </c>
      <c r="C25">
        <v>332</v>
      </c>
      <c r="D25" s="24">
        <v>44056</v>
      </c>
      <c r="E25" s="24"/>
      <c r="F25" t="s">
        <v>86</v>
      </c>
    </row>
    <row r="26" spans="1:6" x14ac:dyDescent="0.25">
      <c r="A26" s="54" t="s">
        <v>4</v>
      </c>
      <c r="B26" t="s">
        <v>53</v>
      </c>
      <c r="C26">
        <v>221</v>
      </c>
      <c r="D26" s="24">
        <v>44056</v>
      </c>
      <c r="E26" s="24"/>
      <c r="F26" t="s">
        <v>86</v>
      </c>
    </row>
    <row r="27" spans="1:6" x14ac:dyDescent="0.25">
      <c r="A27" s="54" t="s">
        <v>4</v>
      </c>
      <c r="B27" t="s">
        <v>53</v>
      </c>
      <c r="C27">
        <v>364</v>
      </c>
      <c r="D27" s="24">
        <v>44056</v>
      </c>
      <c r="E27" s="24"/>
      <c r="F27" t="s">
        <v>86</v>
      </c>
    </row>
    <row r="28" spans="1:6" x14ac:dyDescent="0.25">
      <c r="A28" s="54" t="s">
        <v>4</v>
      </c>
      <c r="B28" t="s">
        <v>53</v>
      </c>
      <c r="C28">
        <v>349</v>
      </c>
      <c r="D28" s="24">
        <v>44056</v>
      </c>
      <c r="E28" s="24"/>
      <c r="F28" t="s">
        <v>86</v>
      </c>
    </row>
    <row r="29" spans="1:6" x14ac:dyDescent="0.25">
      <c r="A29" s="54" t="s">
        <v>4</v>
      </c>
      <c r="B29" t="s">
        <v>53</v>
      </c>
      <c r="C29">
        <v>450</v>
      </c>
      <c r="D29" s="24">
        <v>44056</v>
      </c>
      <c r="E29" s="24"/>
      <c r="F29" t="s">
        <v>86</v>
      </c>
    </row>
    <row r="30" spans="1:6" x14ac:dyDescent="0.25">
      <c r="A30" s="54" t="s">
        <v>4</v>
      </c>
      <c r="B30" t="s">
        <v>53</v>
      </c>
      <c r="C30">
        <v>277</v>
      </c>
      <c r="D30" s="24">
        <v>44056</v>
      </c>
      <c r="E30" s="24"/>
      <c r="F30" t="s">
        <v>86</v>
      </c>
    </row>
    <row r="31" spans="1:6" x14ac:dyDescent="0.25">
      <c r="A31" s="54" t="s">
        <v>4</v>
      </c>
      <c r="B31" t="s">
        <v>53</v>
      </c>
      <c r="C31">
        <v>482</v>
      </c>
      <c r="D31" s="24">
        <v>44056</v>
      </c>
      <c r="E31" s="24"/>
      <c r="F31" t="s">
        <v>86</v>
      </c>
    </row>
    <row r="32" spans="1:6" x14ac:dyDescent="0.25">
      <c r="A32" s="54" t="s">
        <v>4</v>
      </c>
      <c r="B32" t="s">
        <v>53</v>
      </c>
      <c r="C32">
        <v>292</v>
      </c>
      <c r="D32" s="24">
        <v>44056</v>
      </c>
      <c r="E32" s="24"/>
      <c r="F32" t="s">
        <v>86</v>
      </c>
    </row>
    <row r="33" spans="1:6" x14ac:dyDescent="0.25">
      <c r="A33" s="54" t="s">
        <v>4</v>
      </c>
      <c r="B33" t="s">
        <v>53</v>
      </c>
      <c r="C33">
        <v>494</v>
      </c>
      <c r="D33" s="24">
        <v>44056</v>
      </c>
      <c r="E33" s="24"/>
      <c r="F33" t="s">
        <v>86</v>
      </c>
    </row>
    <row r="34" spans="1:6" x14ac:dyDescent="0.25">
      <c r="A34" s="54" t="s">
        <v>4</v>
      </c>
      <c r="B34" t="s">
        <v>53</v>
      </c>
      <c r="C34">
        <v>318</v>
      </c>
      <c r="D34" s="24">
        <v>44056</v>
      </c>
      <c r="E34" s="24"/>
      <c r="F34" t="s">
        <v>86</v>
      </c>
    </row>
    <row r="35" spans="1:6" x14ac:dyDescent="0.25">
      <c r="A35" s="54" t="s">
        <v>4</v>
      </c>
      <c r="B35" t="s">
        <v>53</v>
      </c>
      <c r="C35">
        <v>330</v>
      </c>
      <c r="D35" s="24">
        <v>44056</v>
      </c>
      <c r="E35" s="24"/>
      <c r="F35" t="s">
        <v>86</v>
      </c>
    </row>
    <row r="36" spans="1:6" x14ac:dyDescent="0.25">
      <c r="A36" s="40" t="s">
        <v>71</v>
      </c>
      <c r="B36" s="39" t="s">
        <v>53</v>
      </c>
      <c r="C36" s="39">
        <v>272</v>
      </c>
      <c r="D36" s="24">
        <v>44055</v>
      </c>
      <c r="E36" s="24"/>
      <c r="F36" t="s">
        <v>88</v>
      </c>
    </row>
    <row r="37" spans="1:6" x14ac:dyDescent="0.25">
      <c r="A37" s="35" t="s">
        <v>60</v>
      </c>
      <c r="B37" s="36" t="s">
        <v>53</v>
      </c>
      <c r="C37" s="36">
        <v>1710</v>
      </c>
      <c r="D37" s="24">
        <f>D36</f>
        <v>44055</v>
      </c>
      <c r="E37" s="24"/>
      <c r="F37" t="s">
        <v>88</v>
      </c>
    </row>
    <row r="38" spans="1:6" x14ac:dyDescent="0.25">
      <c r="A38" s="40" t="s">
        <v>60</v>
      </c>
      <c r="B38" s="39" t="s">
        <v>53</v>
      </c>
      <c r="C38" s="39">
        <v>1380</v>
      </c>
      <c r="D38" s="24">
        <v>44055</v>
      </c>
      <c r="E38" s="24"/>
      <c r="F38" t="s">
        <v>88</v>
      </c>
    </row>
    <row r="39" spans="1:6" x14ac:dyDescent="0.25">
      <c r="A39" s="35" t="s">
        <v>60</v>
      </c>
      <c r="B39" s="36" t="s">
        <v>53</v>
      </c>
      <c r="C39" s="46">
        <v>1490</v>
      </c>
      <c r="D39" s="24">
        <v>44055</v>
      </c>
      <c r="E39" s="24"/>
      <c r="F39" t="s">
        <v>88</v>
      </c>
    </row>
    <row r="40" spans="1:6" x14ac:dyDescent="0.25">
      <c r="A40" s="40" t="s">
        <v>60</v>
      </c>
      <c r="B40" s="39" t="s">
        <v>53</v>
      </c>
      <c r="C40">
        <v>2176</v>
      </c>
      <c r="D40" s="24">
        <v>44055</v>
      </c>
      <c r="E40" s="24"/>
      <c r="F40" t="s">
        <v>88</v>
      </c>
    </row>
    <row r="41" spans="1:6" x14ac:dyDescent="0.25">
      <c r="A41" s="35" t="s">
        <v>60</v>
      </c>
      <c r="B41" s="36" t="s">
        <v>53</v>
      </c>
      <c r="C41">
        <v>591</v>
      </c>
      <c r="D41" s="24">
        <v>44055</v>
      </c>
      <c r="E41" s="24"/>
      <c r="F41" t="s">
        <v>88</v>
      </c>
    </row>
    <row r="42" spans="1:6" x14ac:dyDescent="0.25">
      <c r="A42" s="40" t="s">
        <v>3</v>
      </c>
      <c r="B42" s="39" t="s">
        <v>53</v>
      </c>
      <c r="C42" s="39">
        <v>870</v>
      </c>
      <c r="D42" s="41">
        <v>44068</v>
      </c>
      <c r="E42" s="76"/>
      <c r="F42" t="s">
        <v>89</v>
      </c>
    </row>
    <row r="43" spans="1:6" x14ac:dyDescent="0.25">
      <c r="A43" s="35" t="s">
        <v>3</v>
      </c>
      <c r="B43" s="36" t="s">
        <v>53</v>
      </c>
      <c r="C43" s="36">
        <v>700</v>
      </c>
      <c r="D43" s="42">
        <v>44068</v>
      </c>
      <c r="E43" s="77"/>
      <c r="F43" t="s">
        <v>89</v>
      </c>
    </row>
    <row r="44" spans="1:6" x14ac:dyDescent="0.25">
      <c r="A44" s="40" t="s">
        <v>3</v>
      </c>
      <c r="B44" s="39" t="s">
        <v>53</v>
      </c>
      <c r="C44" s="39">
        <v>700</v>
      </c>
      <c r="D44" s="41">
        <v>44068</v>
      </c>
      <c r="E44" s="76"/>
      <c r="F44" t="s">
        <v>89</v>
      </c>
    </row>
    <row r="45" spans="1:6" x14ac:dyDescent="0.25">
      <c r="A45" s="55" t="s">
        <v>4</v>
      </c>
      <c r="B45" s="56" t="s">
        <v>53</v>
      </c>
      <c r="C45" s="56">
        <v>860</v>
      </c>
      <c r="D45" s="57">
        <v>44063</v>
      </c>
      <c r="E45" s="78"/>
      <c r="F45" t="s">
        <v>86</v>
      </c>
    </row>
    <row r="46" spans="1:6" x14ac:dyDescent="0.25">
      <c r="A46" s="55" t="s">
        <v>4</v>
      </c>
      <c r="B46" s="56" t="s">
        <v>53</v>
      </c>
      <c r="C46" s="56">
        <v>317</v>
      </c>
      <c r="D46" s="57">
        <v>44063</v>
      </c>
      <c r="E46" s="78"/>
      <c r="F46" t="s">
        <v>86</v>
      </c>
    </row>
    <row r="47" spans="1:6" x14ac:dyDescent="0.25">
      <c r="A47" s="55" t="s">
        <v>4</v>
      </c>
      <c r="B47" s="56" t="s">
        <v>53</v>
      </c>
      <c r="C47" s="56">
        <v>690</v>
      </c>
      <c r="D47" s="57">
        <v>44063</v>
      </c>
      <c r="E47" s="78"/>
      <c r="F47" t="s">
        <v>86</v>
      </c>
    </row>
    <row r="48" spans="1:6" x14ac:dyDescent="0.25">
      <c r="A48" s="55" t="s">
        <v>4</v>
      </c>
      <c r="B48" s="56" t="s">
        <v>53</v>
      </c>
      <c r="C48" s="59">
        <v>380</v>
      </c>
      <c r="D48" s="57">
        <v>44063</v>
      </c>
      <c r="E48" s="78"/>
      <c r="F48" t="s">
        <v>86</v>
      </c>
    </row>
    <row r="49" spans="1:6" x14ac:dyDescent="0.25">
      <c r="A49" s="55" t="s">
        <v>4</v>
      </c>
      <c r="B49" s="56" t="s">
        <v>53</v>
      </c>
      <c r="C49" s="11">
        <v>162</v>
      </c>
      <c r="D49" s="57">
        <v>44063</v>
      </c>
      <c r="E49" s="78"/>
      <c r="F49" t="s">
        <v>86</v>
      </c>
    </row>
    <row r="50" spans="1:6" x14ac:dyDescent="0.25">
      <c r="A50" s="55" t="s">
        <v>4</v>
      </c>
      <c r="B50" s="56" t="s">
        <v>53</v>
      </c>
      <c r="C50" s="11">
        <v>319</v>
      </c>
      <c r="D50" s="57">
        <v>44063</v>
      </c>
      <c r="E50" s="78"/>
      <c r="F50" t="s">
        <v>86</v>
      </c>
    </row>
    <row r="51" spans="1:6" x14ac:dyDescent="0.25">
      <c r="A51" s="55" t="s">
        <v>4</v>
      </c>
      <c r="B51" s="56" t="s">
        <v>53</v>
      </c>
      <c r="C51" s="11">
        <v>165</v>
      </c>
      <c r="D51" s="57">
        <v>44063</v>
      </c>
      <c r="E51" s="78"/>
      <c r="F51" t="s">
        <v>86</v>
      </c>
    </row>
    <row r="52" spans="1:6" x14ac:dyDescent="0.25">
      <c r="A52" s="55" t="s">
        <v>4</v>
      </c>
      <c r="B52" s="56" t="s">
        <v>53</v>
      </c>
      <c r="C52" s="11">
        <v>758</v>
      </c>
      <c r="D52" s="57">
        <v>44063</v>
      </c>
      <c r="E52" s="78"/>
      <c r="F52" t="s">
        <v>86</v>
      </c>
    </row>
    <row r="53" spans="1:6" x14ac:dyDescent="0.25">
      <c r="A53" s="55" t="s">
        <v>4</v>
      </c>
      <c r="B53" s="56" t="s">
        <v>53</v>
      </c>
      <c r="C53" s="11">
        <v>300</v>
      </c>
      <c r="D53" s="57">
        <v>44063</v>
      </c>
      <c r="E53" s="78"/>
      <c r="F53" t="s">
        <v>86</v>
      </c>
    </row>
    <row r="54" spans="1:6" x14ac:dyDescent="0.25">
      <c r="A54" s="55" t="s">
        <v>64</v>
      </c>
      <c r="B54" s="56" t="s">
        <v>53</v>
      </c>
      <c r="C54" s="11">
        <v>910</v>
      </c>
      <c r="D54" s="57">
        <v>44063</v>
      </c>
      <c r="E54" s="78"/>
      <c r="F54" t="s">
        <v>86</v>
      </c>
    </row>
    <row r="55" spans="1:6" x14ac:dyDescent="0.25">
      <c r="A55" s="55" t="s">
        <v>13</v>
      </c>
      <c r="B55" s="56" t="s">
        <v>53</v>
      </c>
      <c r="C55" s="56">
        <v>295</v>
      </c>
      <c r="D55" s="24">
        <v>44071</v>
      </c>
      <c r="E55" s="24"/>
      <c r="F55" t="s">
        <v>86</v>
      </c>
    </row>
    <row r="56" spans="1:6" x14ac:dyDescent="0.25">
      <c r="A56" s="55" t="s">
        <v>13</v>
      </c>
      <c r="B56" s="56" t="s">
        <v>53</v>
      </c>
      <c r="C56" s="56">
        <v>1008</v>
      </c>
      <c r="D56" s="24">
        <v>44071</v>
      </c>
      <c r="E56" s="24"/>
      <c r="F56" t="s">
        <v>86</v>
      </c>
    </row>
    <row r="57" spans="1:6" x14ac:dyDescent="0.25">
      <c r="A57" s="55" t="s">
        <v>13</v>
      </c>
      <c r="B57" s="56" t="s">
        <v>53</v>
      </c>
      <c r="C57" s="56">
        <v>632</v>
      </c>
      <c r="D57" s="24">
        <v>44071</v>
      </c>
      <c r="E57" s="24"/>
      <c r="F57" t="s">
        <v>86</v>
      </c>
    </row>
    <row r="58" spans="1:6" x14ac:dyDescent="0.25">
      <c r="A58" s="55" t="s">
        <v>13</v>
      </c>
      <c r="B58" s="56" t="s">
        <v>53</v>
      </c>
      <c r="C58" s="59">
        <v>962</v>
      </c>
      <c r="D58" s="24">
        <v>44071</v>
      </c>
      <c r="E58" s="24"/>
      <c r="F58" t="s">
        <v>86</v>
      </c>
    </row>
    <row r="59" spans="1:6" x14ac:dyDescent="0.25">
      <c r="A59" s="55" t="s">
        <v>13</v>
      </c>
      <c r="B59" s="56" t="s">
        <v>53</v>
      </c>
      <c r="C59" s="11">
        <v>432</v>
      </c>
      <c r="D59" s="24">
        <v>44071</v>
      </c>
      <c r="E59" s="24"/>
      <c r="F59" t="s">
        <v>86</v>
      </c>
    </row>
    <row r="60" spans="1:6" x14ac:dyDescent="0.25">
      <c r="A60" s="55" t="s">
        <v>13</v>
      </c>
      <c r="B60" s="56" t="s">
        <v>53</v>
      </c>
      <c r="C60" s="11">
        <v>534</v>
      </c>
      <c r="D60" s="24">
        <v>44071</v>
      </c>
      <c r="E60" s="24"/>
      <c r="F60" t="s">
        <v>86</v>
      </c>
    </row>
    <row r="61" spans="1:6" x14ac:dyDescent="0.25">
      <c r="A61" s="55" t="s">
        <v>13</v>
      </c>
      <c r="B61" s="56" t="s">
        <v>53</v>
      </c>
      <c r="C61" s="11">
        <v>515</v>
      </c>
      <c r="D61" s="24">
        <v>44071</v>
      </c>
      <c r="E61" s="24"/>
      <c r="F61" t="s">
        <v>86</v>
      </c>
    </row>
    <row r="62" spans="1:6" x14ac:dyDescent="0.25">
      <c r="A62" s="55" t="s">
        <v>13</v>
      </c>
      <c r="B62" s="56" t="s">
        <v>53</v>
      </c>
      <c r="C62" s="11">
        <v>384</v>
      </c>
      <c r="D62" s="24">
        <v>44071</v>
      </c>
      <c r="E62" s="24"/>
      <c r="F62" t="s">
        <v>86</v>
      </c>
    </row>
    <row r="63" spans="1:6" x14ac:dyDescent="0.25">
      <c r="A63" s="55" t="s">
        <v>13</v>
      </c>
      <c r="B63" s="56" t="s">
        <v>53</v>
      </c>
      <c r="C63" s="11">
        <v>485</v>
      </c>
      <c r="D63" s="24">
        <v>44071</v>
      </c>
      <c r="E63" s="24"/>
      <c r="F63" t="s">
        <v>86</v>
      </c>
    </row>
    <row r="64" spans="1:6" x14ac:dyDescent="0.25">
      <c r="A64" s="55" t="s">
        <v>13</v>
      </c>
      <c r="B64" s="56" t="s">
        <v>53</v>
      </c>
      <c r="C64" s="11">
        <v>644</v>
      </c>
      <c r="D64" s="24">
        <v>44071</v>
      </c>
      <c r="E64" s="24"/>
      <c r="F64" t="s">
        <v>86</v>
      </c>
    </row>
    <row r="65" spans="1:6" x14ac:dyDescent="0.25">
      <c r="A65" s="55" t="s">
        <v>13</v>
      </c>
      <c r="B65" s="56" t="s">
        <v>53</v>
      </c>
      <c r="C65">
        <v>413</v>
      </c>
      <c r="D65" s="24">
        <v>44071</v>
      </c>
      <c r="E65" s="24"/>
      <c r="F65" t="s">
        <v>86</v>
      </c>
    </row>
    <row r="66" spans="1:6" x14ac:dyDescent="0.25">
      <c r="A66" t="s">
        <v>4</v>
      </c>
      <c r="B66" s="56" t="s">
        <v>53</v>
      </c>
      <c r="C66">
        <v>373</v>
      </c>
      <c r="D66" s="24">
        <v>44040</v>
      </c>
      <c r="E66" s="24"/>
      <c r="F66" t="s">
        <v>53</v>
      </c>
    </row>
    <row r="67" spans="1:6" x14ac:dyDescent="0.25">
      <c r="A67" t="s">
        <v>4</v>
      </c>
      <c r="B67" s="56" t="s">
        <v>53</v>
      </c>
      <c r="C67">
        <v>343</v>
      </c>
      <c r="D67" s="24">
        <v>44040</v>
      </c>
      <c r="E67" s="24"/>
      <c r="F67" t="s">
        <v>53</v>
      </c>
    </row>
    <row r="68" spans="1:6" x14ac:dyDescent="0.25">
      <c r="A68" t="s">
        <v>4</v>
      </c>
      <c r="B68" s="56" t="s">
        <v>53</v>
      </c>
      <c r="C68">
        <v>335</v>
      </c>
      <c r="D68" s="24">
        <v>44040</v>
      </c>
      <c r="E68" s="24"/>
      <c r="F68" t="s">
        <v>53</v>
      </c>
    </row>
    <row r="69" spans="1:6" x14ac:dyDescent="0.25">
      <c r="A69" t="s">
        <v>4</v>
      </c>
      <c r="B69" s="56" t="s">
        <v>53</v>
      </c>
      <c r="C69">
        <v>344</v>
      </c>
      <c r="D69" s="24">
        <v>44040</v>
      </c>
      <c r="E69" s="24"/>
      <c r="F69" t="s">
        <v>53</v>
      </c>
    </row>
    <row r="70" spans="1:6" x14ac:dyDescent="0.25">
      <c r="A70" t="s">
        <v>4</v>
      </c>
      <c r="B70" s="56" t="s">
        <v>53</v>
      </c>
      <c r="C70">
        <v>221</v>
      </c>
      <c r="D70" s="24">
        <v>44040</v>
      </c>
      <c r="E70" s="24"/>
      <c r="F70" t="s">
        <v>53</v>
      </c>
    </row>
    <row r="71" spans="1:6" x14ac:dyDescent="0.25">
      <c r="A71" t="s">
        <v>4</v>
      </c>
      <c r="B71" s="56" t="s">
        <v>53</v>
      </c>
      <c r="C71">
        <v>410</v>
      </c>
      <c r="D71" s="24">
        <v>44040</v>
      </c>
      <c r="E71" s="24"/>
      <c r="F71" t="s">
        <v>53</v>
      </c>
    </row>
    <row r="72" spans="1:6" x14ac:dyDescent="0.25">
      <c r="A72" t="s">
        <v>1</v>
      </c>
      <c r="B72" s="56" t="s">
        <v>53</v>
      </c>
      <c r="C72">
        <v>328</v>
      </c>
      <c r="D72" s="24">
        <v>44040</v>
      </c>
      <c r="E72" s="24"/>
      <c r="F72" t="s">
        <v>53</v>
      </c>
    </row>
    <row r="73" spans="1:6" x14ac:dyDescent="0.25">
      <c r="A73" t="s">
        <v>1</v>
      </c>
      <c r="B73" t="s">
        <v>53</v>
      </c>
      <c r="C73">
        <v>311</v>
      </c>
      <c r="D73" s="24">
        <v>44040</v>
      </c>
      <c r="E73" s="24"/>
      <c r="F73" t="s">
        <v>53</v>
      </c>
    </row>
    <row r="74" spans="1:6" x14ac:dyDescent="0.25">
      <c r="A74" t="s">
        <v>9</v>
      </c>
      <c r="B74" t="s">
        <v>46</v>
      </c>
      <c r="C74">
        <v>380</v>
      </c>
      <c r="D74" s="24">
        <v>44075</v>
      </c>
      <c r="E74" s="24"/>
      <c r="F74" t="s">
        <v>95</v>
      </c>
    </row>
    <row r="75" spans="1:6" x14ac:dyDescent="0.25">
      <c r="A75" t="s">
        <v>9</v>
      </c>
      <c r="B75" t="s">
        <v>46</v>
      </c>
      <c r="C75">
        <v>669</v>
      </c>
      <c r="D75" s="24">
        <v>44075</v>
      </c>
      <c r="E75" s="24"/>
      <c r="F75" t="s">
        <v>95</v>
      </c>
    </row>
    <row r="76" spans="1:6" x14ac:dyDescent="0.25">
      <c r="A76" t="s">
        <v>9</v>
      </c>
      <c r="B76" t="s">
        <v>46</v>
      </c>
      <c r="C76">
        <v>589</v>
      </c>
      <c r="D76" s="24">
        <v>44075</v>
      </c>
      <c r="E76" s="24"/>
      <c r="F76" t="s">
        <v>95</v>
      </c>
    </row>
    <row r="77" spans="1:6" x14ac:dyDescent="0.25">
      <c r="A77" s="11" t="s">
        <v>26</v>
      </c>
      <c r="B77" s="11" t="s">
        <v>47</v>
      </c>
      <c r="C77" s="11">
        <v>433</v>
      </c>
      <c r="D77" s="24">
        <v>44068</v>
      </c>
      <c r="E77" s="24"/>
      <c r="F77" t="s">
        <v>47</v>
      </c>
    </row>
    <row r="78" spans="1:6" x14ac:dyDescent="0.25">
      <c r="A78" t="s">
        <v>26</v>
      </c>
      <c r="B78" s="11" t="s">
        <v>47</v>
      </c>
      <c r="C78">
        <v>1405</v>
      </c>
      <c r="D78" s="24">
        <v>44068</v>
      </c>
      <c r="E78" s="24"/>
      <c r="F78" t="s">
        <v>47</v>
      </c>
    </row>
    <row r="79" spans="1:6" x14ac:dyDescent="0.25">
      <c r="A79" t="s">
        <v>2</v>
      </c>
      <c r="B79" s="11" t="s">
        <v>47</v>
      </c>
      <c r="C79">
        <v>1560</v>
      </c>
      <c r="D79" s="24">
        <v>44068</v>
      </c>
      <c r="E79" s="24"/>
      <c r="F79" t="s">
        <v>47</v>
      </c>
    </row>
    <row r="80" spans="1:6" x14ac:dyDescent="0.25">
      <c r="A80" t="s">
        <v>2</v>
      </c>
      <c r="B80" s="11" t="s">
        <v>47</v>
      </c>
      <c r="C80">
        <v>1680</v>
      </c>
      <c r="D80" s="24">
        <v>44068</v>
      </c>
      <c r="E80" s="24"/>
      <c r="F80" t="s">
        <v>47</v>
      </c>
    </row>
    <row r="81" spans="1:6" x14ac:dyDescent="0.25">
      <c r="A81" t="s">
        <v>72</v>
      </c>
      <c r="B81" t="s">
        <v>77</v>
      </c>
      <c r="C81">
        <v>237</v>
      </c>
      <c r="D81" s="24">
        <v>44068</v>
      </c>
      <c r="E81" s="24"/>
      <c r="F81" t="s">
        <v>98</v>
      </c>
    </row>
    <row r="82" spans="1:6" x14ac:dyDescent="0.25">
      <c r="A82" t="s">
        <v>72</v>
      </c>
      <c r="B82" t="s">
        <v>77</v>
      </c>
      <c r="C82">
        <v>360</v>
      </c>
      <c r="D82" s="24">
        <v>44068</v>
      </c>
      <c r="E82" s="24"/>
      <c r="F82" t="s">
        <v>98</v>
      </c>
    </row>
    <row r="83" spans="1:6" x14ac:dyDescent="0.25">
      <c r="A83" t="s">
        <v>56</v>
      </c>
      <c r="B83" t="s">
        <v>53</v>
      </c>
      <c r="C83">
        <v>25</v>
      </c>
      <c r="D83" s="24">
        <v>44053</v>
      </c>
      <c r="E83" s="24" t="s">
        <v>192</v>
      </c>
      <c r="F83" t="s">
        <v>87</v>
      </c>
    </row>
    <row r="84" spans="1:6" x14ac:dyDescent="0.25">
      <c r="A84" s="55" t="s">
        <v>92</v>
      </c>
      <c r="B84" s="74" t="s">
        <v>53</v>
      </c>
      <c r="C84" s="56">
        <v>198</v>
      </c>
      <c r="D84" s="24">
        <v>44084</v>
      </c>
      <c r="E84" t="s">
        <v>192</v>
      </c>
      <c r="F84" t="s">
        <v>198</v>
      </c>
    </row>
    <row r="85" spans="1:6" x14ac:dyDescent="0.25">
      <c r="A85" s="55" t="s">
        <v>92</v>
      </c>
      <c r="B85" s="56" t="s">
        <v>53</v>
      </c>
      <c r="C85" s="56">
        <v>184</v>
      </c>
      <c r="D85" s="24">
        <v>44084</v>
      </c>
      <c r="E85" s="24" t="s">
        <v>192</v>
      </c>
      <c r="F85" t="s">
        <v>198</v>
      </c>
    </row>
    <row r="86" spans="1:6" x14ac:dyDescent="0.25">
      <c r="A86" s="55" t="s">
        <v>0</v>
      </c>
      <c r="B86" s="56" t="s">
        <v>53</v>
      </c>
      <c r="C86" s="56">
        <v>726</v>
      </c>
      <c r="D86" s="24">
        <v>44084</v>
      </c>
      <c r="E86" t="s">
        <v>192</v>
      </c>
      <c r="F86" t="s">
        <v>198</v>
      </c>
    </row>
    <row r="87" spans="1:6" x14ac:dyDescent="0.25">
      <c r="A87" s="55" t="s">
        <v>92</v>
      </c>
      <c r="B87" s="56" t="s">
        <v>53</v>
      </c>
      <c r="C87" s="59">
        <v>15</v>
      </c>
      <c r="D87" s="24">
        <v>44084</v>
      </c>
      <c r="E87" s="24" t="s">
        <v>192</v>
      </c>
      <c r="F87" t="s">
        <v>198</v>
      </c>
    </row>
    <row r="88" spans="1:6" x14ac:dyDescent="0.25">
      <c r="A88" s="55" t="s">
        <v>0</v>
      </c>
      <c r="B88" s="56" t="s">
        <v>53</v>
      </c>
      <c r="C88" s="11">
        <v>400</v>
      </c>
      <c r="D88" s="24">
        <v>44084</v>
      </c>
      <c r="E88" t="s">
        <v>192</v>
      </c>
      <c r="F88" t="s">
        <v>198</v>
      </c>
    </row>
    <row r="89" spans="1:6" x14ac:dyDescent="0.25">
      <c r="A89" s="55" t="s">
        <v>92</v>
      </c>
      <c r="B89" s="56" t="s">
        <v>53</v>
      </c>
      <c r="C89" s="11">
        <v>241</v>
      </c>
      <c r="D89" s="24">
        <v>44084</v>
      </c>
      <c r="E89" s="24" t="s">
        <v>192</v>
      </c>
      <c r="F89" t="s">
        <v>198</v>
      </c>
    </row>
    <row r="90" spans="1:6" x14ac:dyDescent="0.25">
      <c r="A90" s="55" t="s">
        <v>0</v>
      </c>
      <c r="B90" s="56" t="s">
        <v>53</v>
      </c>
      <c r="C90" s="11">
        <v>53</v>
      </c>
      <c r="D90" s="24">
        <v>44084</v>
      </c>
      <c r="E90" t="s">
        <v>192</v>
      </c>
      <c r="F90" t="s">
        <v>198</v>
      </c>
    </row>
    <row r="91" spans="1:6" x14ac:dyDescent="0.25">
      <c r="A91" s="55" t="s">
        <v>0</v>
      </c>
      <c r="B91" s="56" t="s">
        <v>53</v>
      </c>
      <c r="C91" s="11">
        <v>175</v>
      </c>
      <c r="D91" s="24">
        <v>44084</v>
      </c>
      <c r="E91" s="24" t="s">
        <v>192</v>
      </c>
      <c r="F91" t="s">
        <v>198</v>
      </c>
    </row>
    <row r="92" spans="1:6" x14ac:dyDescent="0.25">
      <c r="A92" s="55" t="s">
        <v>0</v>
      </c>
      <c r="B92" s="56" t="s">
        <v>53</v>
      </c>
      <c r="C92" s="11">
        <v>225</v>
      </c>
      <c r="D92" s="24">
        <v>44084</v>
      </c>
      <c r="E92" t="s">
        <v>192</v>
      </c>
      <c r="F92" t="s">
        <v>198</v>
      </c>
    </row>
    <row r="93" spans="1:6" x14ac:dyDescent="0.25">
      <c r="A93" s="55" t="s">
        <v>0</v>
      </c>
      <c r="B93" s="56" t="s">
        <v>53</v>
      </c>
      <c r="C93" s="11">
        <f>80+92</f>
        <v>172</v>
      </c>
      <c r="D93" s="24">
        <v>44084</v>
      </c>
      <c r="E93" s="24" t="s">
        <v>192</v>
      </c>
      <c r="F93" t="s">
        <v>198</v>
      </c>
    </row>
    <row r="94" spans="1:6" x14ac:dyDescent="0.25">
      <c r="A94" s="55" t="s">
        <v>21</v>
      </c>
      <c r="B94" s="39" t="s">
        <v>53</v>
      </c>
      <c r="C94">
        <v>15</v>
      </c>
      <c r="D94" s="24">
        <v>44084</v>
      </c>
      <c r="E94" t="s">
        <v>192</v>
      </c>
      <c r="F94" t="s">
        <v>198</v>
      </c>
    </row>
    <row r="95" spans="1:6" x14ac:dyDescent="0.25">
      <c r="A95" s="55" t="s">
        <v>21</v>
      </c>
      <c r="B95" s="79" t="s">
        <v>53</v>
      </c>
      <c r="C95">
        <v>5</v>
      </c>
      <c r="D95" s="24">
        <v>44084</v>
      </c>
      <c r="E95" s="24" t="s">
        <v>192</v>
      </c>
      <c r="F95" t="s">
        <v>198</v>
      </c>
    </row>
    <row r="96" spans="1:6" x14ac:dyDescent="0.25">
      <c r="A96" s="55" t="s">
        <v>21</v>
      </c>
      <c r="B96" s="79" t="s">
        <v>53</v>
      </c>
      <c r="C96">
        <v>14</v>
      </c>
      <c r="D96" s="24">
        <v>44084</v>
      </c>
      <c r="E96" t="s">
        <v>192</v>
      </c>
      <c r="F96" t="s">
        <v>198</v>
      </c>
    </row>
    <row r="97" spans="1:6" x14ac:dyDescent="0.25">
      <c r="A97" s="55" t="s">
        <v>21</v>
      </c>
      <c r="B97" s="79" t="s">
        <v>53</v>
      </c>
      <c r="C97">
        <v>16</v>
      </c>
      <c r="D97" s="24">
        <v>44084</v>
      </c>
      <c r="E97" s="24" t="s">
        <v>192</v>
      </c>
      <c r="F97" t="s">
        <v>198</v>
      </c>
    </row>
    <row r="98" spans="1:6" x14ac:dyDescent="0.25">
      <c r="A98" s="55" t="s">
        <v>21</v>
      </c>
      <c r="B98" s="79" t="s">
        <v>53</v>
      </c>
      <c r="C98">
        <v>6</v>
      </c>
      <c r="D98" s="24">
        <v>44084</v>
      </c>
      <c r="E98" t="s">
        <v>192</v>
      </c>
      <c r="F98" t="s">
        <v>198</v>
      </c>
    </row>
    <row r="99" spans="1:6" x14ac:dyDescent="0.25">
      <c r="A99" s="55" t="s">
        <v>21</v>
      </c>
      <c r="B99" s="79" t="s">
        <v>53</v>
      </c>
      <c r="C99">
        <v>16</v>
      </c>
      <c r="D99" s="24">
        <v>44084</v>
      </c>
      <c r="E99" s="24" t="s">
        <v>192</v>
      </c>
      <c r="F99" t="s">
        <v>198</v>
      </c>
    </row>
    <row r="100" spans="1:6" x14ac:dyDescent="0.25">
      <c r="A100" t="s">
        <v>197</v>
      </c>
      <c r="B100" s="80" t="s">
        <v>53</v>
      </c>
      <c r="C100">
        <v>50</v>
      </c>
      <c r="D100" s="24">
        <v>44084</v>
      </c>
      <c r="E100" t="s">
        <v>192</v>
      </c>
      <c r="F100" t="s">
        <v>198</v>
      </c>
    </row>
    <row r="101" spans="1:6" x14ac:dyDescent="0.25">
      <c r="A101" t="s">
        <v>0</v>
      </c>
      <c r="B101" t="s">
        <v>53</v>
      </c>
      <c r="C101">
        <v>92</v>
      </c>
      <c r="D101" s="24">
        <v>44084</v>
      </c>
      <c r="E101" t="s">
        <v>192</v>
      </c>
      <c r="F101" t="s">
        <v>199</v>
      </c>
    </row>
    <row r="102" spans="1:6" x14ac:dyDescent="0.25">
      <c r="A102" s="55" t="s">
        <v>200</v>
      </c>
      <c r="B102" s="74" t="s">
        <v>53</v>
      </c>
      <c r="C102" s="56">
        <v>282</v>
      </c>
      <c r="D102" s="24">
        <v>44085</v>
      </c>
      <c r="E102" t="s">
        <v>192</v>
      </c>
      <c r="F102" t="s">
        <v>86</v>
      </c>
    </row>
    <row r="103" spans="1:6" x14ac:dyDescent="0.25">
      <c r="A103" s="55" t="s">
        <v>4</v>
      </c>
      <c r="B103" s="56" t="s">
        <v>53</v>
      </c>
      <c r="C103" s="56">
        <v>210</v>
      </c>
      <c r="D103" s="24">
        <v>44085</v>
      </c>
      <c r="E103" t="s">
        <v>192</v>
      </c>
      <c r="F103" t="s">
        <v>86</v>
      </c>
    </row>
    <row r="104" spans="1:6" x14ac:dyDescent="0.25">
      <c r="A104" s="55" t="s">
        <v>2</v>
      </c>
      <c r="B104" s="56" t="s">
        <v>53</v>
      </c>
      <c r="C104" s="56">
        <v>960</v>
      </c>
      <c r="D104" s="24">
        <v>44085</v>
      </c>
      <c r="E104" t="s">
        <v>192</v>
      </c>
      <c r="F104" t="s">
        <v>86</v>
      </c>
    </row>
    <row r="105" spans="1:6" x14ac:dyDescent="0.25">
      <c r="A105" s="55" t="s">
        <v>18</v>
      </c>
      <c r="B105" s="56" t="s">
        <v>53</v>
      </c>
      <c r="C105" s="59">
        <v>636</v>
      </c>
      <c r="D105" s="24">
        <v>44085</v>
      </c>
      <c r="E105" t="s">
        <v>192</v>
      </c>
      <c r="F105" t="s">
        <v>86</v>
      </c>
    </row>
    <row r="106" spans="1:6" x14ac:dyDescent="0.25">
      <c r="A106" s="55" t="s">
        <v>18</v>
      </c>
      <c r="B106" s="56" t="s">
        <v>53</v>
      </c>
      <c r="C106" s="11">
        <v>297</v>
      </c>
      <c r="D106" s="24">
        <v>44085</v>
      </c>
      <c r="E106" t="s">
        <v>192</v>
      </c>
      <c r="F106" t="s">
        <v>86</v>
      </c>
    </row>
    <row r="107" spans="1:6" x14ac:dyDescent="0.25">
      <c r="A107" s="55" t="s">
        <v>18</v>
      </c>
      <c r="B107" s="56" t="s">
        <v>53</v>
      </c>
      <c r="C107" s="11">
        <v>206</v>
      </c>
      <c r="D107" s="24">
        <v>44085</v>
      </c>
      <c r="E107" t="s">
        <v>192</v>
      </c>
      <c r="F107" t="s">
        <v>86</v>
      </c>
    </row>
    <row r="108" spans="1:6" x14ac:dyDescent="0.25">
      <c r="A108" s="55" t="s">
        <v>18</v>
      </c>
      <c r="B108" s="56" t="s">
        <v>53</v>
      </c>
      <c r="C108" s="11">
        <v>210</v>
      </c>
      <c r="D108" s="24">
        <v>44085</v>
      </c>
      <c r="E108" t="s">
        <v>192</v>
      </c>
      <c r="F108" t="s">
        <v>86</v>
      </c>
    </row>
    <row r="109" spans="1:6" x14ac:dyDescent="0.25">
      <c r="A109" s="55" t="s">
        <v>2</v>
      </c>
      <c r="B109" s="56" t="s">
        <v>53</v>
      </c>
      <c r="C109" s="11">
        <v>673</v>
      </c>
      <c r="D109" s="24">
        <v>44085</v>
      </c>
      <c r="E109" t="s">
        <v>192</v>
      </c>
      <c r="F109" t="s">
        <v>86</v>
      </c>
    </row>
    <row r="110" spans="1:6" x14ac:dyDescent="0.25">
      <c r="A110" s="55" t="s">
        <v>2</v>
      </c>
      <c r="B110" s="56" t="s">
        <v>53</v>
      </c>
      <c r="C110" s="11">
        <v>1170</v>
      </c>
      <c r="D110" s="24">
        <v>44085</v>
      </c>
      <c r="E110" t="s">
        <v>192</v>
      </c>
      <c r="F110" t="s">
        <v>86</v>
      </c>
    </row>
    <row r="111" spans="1:6" x14ac:dyDescent="0.25">
      <c r="A111" s="55" t="s">
        <v>200</v>
      </c>
      <c r="B111" s="56" t="s">
        <v>53</v>
      </c>
      <c r="C111" s="11">
        <v>997</v>
      </c>
      <c r="D111" s="24">
        <v>44085</v>
      </c>
      <c r="E111" t="s">
        <v>192</v>
      </c>
      <c r="F111" t="s">
        <v>86</v>
      </c>
    </row>
    <row r="112" spans="1:6" x14ac:dyDescent="0.25">
      <c r="A112" s="55" t="s">
        <v>2</v>
      </c>
      <c r="B112" s="39" t="s">
        <v>53</v>
      </c>
      <c r="C112">
        <v>990</v>
      </c>
      <c r="D112" s="24">
        <v>44085</v>
      </c>
      <c r="E112" t="s">
        <v>192</v>
      </c>
      <c r="F112" t="s">
        <v>86</v>
      </c>
    </row>
    <row r="113" spans="1:6" x14ac:dyDescent="0.25">
      <c r="A113" t="s">
        <v>18</v>
      </c>
      <c r="B113" t="s">
        <v>53</v>
      </c>
      <c r="C113">
        <v>277</v>
      </c>
      <c r="D113" s="24">
        <v>44085</v>
      </c>
      <c r="E113" t="s">
        <v>192</v>
      </c>
      <c r="F113" t="s">
        <v>199</v>
      </c>
    </row>
    <row r="114" spans="1:6" x14ac:dyDescent="0.25">
      <c r="A114" s="55" t="s">
        <v>14</v>
      </c>
      <c r="B114" s="74" t="s">
        <v>53</v>
      </c>
      <c r="C114" s="56">
        <v>780</v>
      </c>
      <c r="D114" s="24">
        <v>44091</v>
      </c>
      <c r="E114" t="s">
        <v>192</v>
      </c>
      <c r="F114" t="s">
        <v>86</v>
      </c>
    </row>
    <row r="115" spans="1:6" x14ac:dyDescent="0.25">
      <c r="A115" s="55" t="s">
        <v>13</v>
      </c>
      <c r="B115" s="56" t="s">
        <v>53</v>
      </c>
      <c r="C115" s="56">
        <v>893</v>
      </c>
      <c r="D115" s="24">
        <v>44091</v>
      </c>
      <c r="E115" t="s">
        <v>192</v>
      </c>
      <c r="F115" t="s">
        <v>86</v>
      </c>
    </row>
    <row r="116" spans="1:6" x14ac:dyDescent="0.25">
      <c r="A116" s="55" t="s">
        <v>13</v>
      </c>
      <c r="B116" s="56" t="s">
        <v>53</v>
      </c>
      <c r="C116" s="56">
        <v>890</v>
      </c>
      <c r="D116" s="24">
        <v>44091</v>
      </c>
      <c r="E116" t="s">
        <v>192</v>
      </c>
      <c r="F116" t="s">
        <v>86</v>
      </c>
    </row>
    <row r="117" spans="1:6" x14ac:dyDescent="0.25">
      <c r="A117" s="55" t="s">
        <v>201</v>
      </c>
      <c r="B117" s="56" t="s">
        <v>53</v>
      </c>
      <c r="C117" s="59">
        <v>1130</v>
      </c>
      <c r="D117" s="24">
        <v>44091</v>
      </c>
      <c r="E117" t="s">
        <v>98</v>
      </c>
      <c r="F117" t="s">
        <v>86</v>
      </c>
    </row>
    <row r="118" spans="1:6" x14ac:dyDescent="0.25">
      <c r="A118" s="55" t="s">
        <v>201</v>
      </c>
      <c r="B118" s="56" t="s">
        <v>53</v>
      </c>
      <c r="C118" s="11">
        <v>1116</v>
      </c>
      <c r="D118" s="24">
        <v>44091</v>
      </c>
      <c r="E118" t="s">
        <v>98</v>
      </c>
      <c r="F118" t="s">
        <v>86</v>
      </c>
    </row>
    <row r="119" spans="1:6" x14ac:dyDescent="0.25">
      <c r="A119" s="55" t="s">
        <v>201</v>
      </c>
      <c r="B119" s="56" t="s">
        <v>53</v>
      </c>
      <c r="C119" s="11">
        <v>888</v>
      </c>
      <c r="D119" s="24">
        <v>44091</v>
      </c>
      <c r="E119" t="s">
        <v>98</v>
      </c>
      <c r="F119" t="s">
        <v>86</v>
      </c>
    </row>
    <row r="120" spans="1:6" x14ac:dyDescent="0.25">
      <c r="A120" s="55" t="s">
        <v>201</v>
      </c>
      <c r="B120" s="56" t="s">
        <v>53</v>
      </c>
      <c r="C120" s="11">
        <v>1211</v>
      </c>
      <c r="D120" s="24">
        <v>44091</v>
      </c>
      <c r="E120" t="s">
        <v>98</v>
      </c>
      <c r="F120" t="s">
        <v>86</v>
      </c>
    </row>
    <row r="121" spans="1:6" x14ac:dyDescent="0.25">
      <c r="A121" s="55" t="s">
        <v>201</v>
      </c>
      <c r="B121" s="56" t="s">
        <v>53</v>
      </c>
      <c r="C121" s="11">
        <v>1206</v>
      </c>
      <c r="D121" s="24">
        <v>44091</v>
      </c>
      <c r="E121" t="s">
        <v>98</v>
      </c>
      <c r="F121" t="s">
        <v>86</v>
      </c>
    </row>
    <row r="122" spans="1:6" x14ac:dyDescent="0.25">
      <c r="A122" s="55" t="s">
        <v>201</v>
      </c>
      <c r="B122" s="56" t="s">
        <v>53</v>
      </c>
      <c r="C122" s="11">
        <v>1110</v>
      </c>
      <c r="D122" s="24">
        <v>44091</v>
      </c>
      <c r="E122" t="s">
        <v>98</v>
      </c>
      <c r="F122" t="s">
        <v>86</v>
      </c>
    </row>
    <row r="123" spans="1:6" x14ac:dyDescent="0.25">
      <c r="A123" s="55" t="s">
        <v>201</v>
      </c>
      <c r="B123" s="56" t="s">
        <v>53</v>
      </c>
      <c r="C123" s="11">
        <v>272</v>
      </c>
      <c r="D123" s="24">
        <v>44091</v>
      </c>
      <c r="E123" t="s">
        <v>98</v>
      </c>
      <c r="F123" t="s">
        <v>86</v>
      </c>
    </row>
    <row r="124" spans="1:6" x14ac:dyDescent="0.25">
      <c r="A124" t="s">
        <v>5</v>
      </c>
      <c r="B124" t="s">
        <v>53</v>
      </c>
      <c r="C124">
        <v>276</v>
      </c>
      <c r="D124" s="24">
        <v>44105</v>
      </c>
      <c r="E124" t="s">
        <v>192</v>
      </c>
      <c r="F124" s="82" t="s">
        <v>212</v>
      </c>
    </row>
    <row r="125" spans="1:6" x14ac:dyDescent="0.25">
      <c r="A125" t="s">
        <v>5</v>
      </c>
      <c r="B125" t="s">
        <v>53</v>
      </c>
      <c r="C125">
        <v>137</v>
      </c>
      <c r="D125" s="24">
        <v>44105</v>
      </c>
      <c r="E125" t="s">
        <v>192</v>
      </c>
      <c r="F125" s="82" t="s">
        <v>212</v>
      </c>
    </row>
    <row r="126" spans="1:6" x14ac:dyDescent="0.25">
      <c r="A126" t="s">
        <v>5</v>
      </c>
      <c r="B126" t="s">
        <v>53</v>
      </c>
      <c r="C126">
        <v>202</v>
      </c>
      <c r="D126" s="24">
        <v>44105</v>
      </c>
      <c r="E126" t="s">
        <v>192</v>
      </c>
      <c r="F126" s="82" t="s">
        <v>212</v>
      </c>
    </row>
    <row r="127" spans="1:6" x14ac:dyDescent="0.25">
      <c r="A127" t="s">
        <v>5</v>
      </c>
      <c r="B127" t="s">
        <v>53</v>
      </c>
      <c r="C127">
        <v>184</v>
      </c>
      <c r="D127" s="24">
        <v>44105</v>
      </c>
      <c r="E127" t="s">
        <v>192</v>
      </c>
      <c r="F127" s="82" t="s">
        <v>212</v>
      </c>
    </row>
    <row r="128" spans="1:6" x14ac:dyDescent="0.25">
      <c r="A128" t="s">
        <v>5</v>
      </c>
      <c r="B128" t="s">
        <v>53</v>
      </c>
      <c r="C128">
        <v>102</v>
      </c>
      <c r="D128" s="24">
        <v>44105</v>
      </c>
      <c r="E128" t="s">
        <v>192</v>
      </c>
      <c r="F128" s="82" t="s">
        <v>212</v>
      </c>
    </row>
    <row r="129" spans="1:6" x14ac:dyDescent="0.25">
      <c r="A129" t="s">
        <v>5</v>
      </c>
      <c r="B129" t="s">
        <v>53</v>
      </c>
      <c r="C129">
        <v>119</v>
      </c>
      <c r="D129" s="24">
        <v>44105</v>
      </c>
      <c r="E129" t="s">
        <v>192</v>
      </c>
      <c r="F129" s="82" t="s">
        <v>212</v>
      </c>
    </row>
    <row r="130" spans="1:6" x14ac:dyDescent="0.25">
      <c r="A130" t="s">
        <v>5</v>
      </c>
      <c r="B130" t="s">
        <v>53</v>
      </c>
      <c r="C130">
        <v>168</v>
      </c>
      <c r="D130" s="24">
        <v>44105</v>
      </c>
      <c r="E130" t="s">
        <v>192</v>
      </c>
      <c r="F130" s="82" t="s">
        <v>212</v>
      </c>
    </row>
    <row r="131" spans="1:6" x14ac:dyDescent="0.25">
      <c r="A131" t="s">
        <v>5</v>
      </c>
      <c r="B131" t="s">
        <v>53</v>
      </c>
      <c r="C131">
        <v>233</v>
      </c>
      <c r="D131" s="24">
        <v>44105</v>
      </c>
      <c r="E131" t="s">
        <v>192</v>
      </c>
      <c r="F131" s="82" t="s">
        <v>212</v>
      </c>
    </row>
    <row r="132" spans="1:6" x14ac:dyDescent="0.25">
      <c r="A132" t="s">
        <v>5</v>
      </c>
      <c r="B132" t="s">
        <v>53</v>
      </c>
      <c r="C132">
        <v>1</v>
      </c>
      <c r="D132" s="24">
        <v>44105</v>
      </c>
      <c r="E132" t="s">
        <v>192</v>
      </c>
      <c r="F132" s="82" t="s">
        <v>212</v>
      </c>
    </row>
    <row r="133" spans="1:6" x14ac:dyDescent="0.25">
      <c r="A133" t="s">
        <v>5</v>
      </c>
      <c r="B133" t="s">
        <v>53</v>
      </c>
      <c r="C133">
        <v>1</v>
      </c>
      <c r="D133" s="24">
        <v>44105</v>
      </c>
      <c r="E133" t="s">
        <v>192</v>
      </c>
      <c r="F133" s="82" t="s">
        <v>212</v>
      </c>
    </row>
    <row r="134" spans="1:6" x14ac:dyDescent="0.25">
      <c r="A134" t="s">
        <v>5</v>
      </c>
      <c r="B134" t="s">
        <v>53</v>
      </c>
      <c r="C134">
        <v>1</v>
      </c>
      <c r="D134" s="24">
        <v>44105</v>
      </c>
      <c r="E134" t="s">
        <v>192</v>
      </c>
      <c r="F134" s="82" t="s">
        <v>212</v>
      </c>
    </row>
    <row r="135" spans="1:6" x14ac:dyDescent="0.25">
      <c r="A135" t="s">
        <v>5</v>
      </c>
      <c r="B135" t="s">
        <v>53</v>
      </c>
      <c r="C135">
        <v>1</v>
      </c>
      <c r="D135" s="24">
        <v>44105</v>
      </c>
      <c r="E135" t="s">
        <v>192</v>
      </c>
      <c r="F135" s="82" t="s">
        <v>212</v>
      </c>
    </row>
    <row r="136" spans="1:6" x14ac:dyDescent="0.25">
      <c r="A136" t="s">
        <v>5</v>
      </c>
      <c r="B136" t="s">
        <v>53</v>
      </c>
      <c r="C136">
        <v>1</v>
      </c>
      <c r="D136" s="24">
        <v>44105</v>
      </c>
      <c r="E136" t="s">
        <v>192</v>
      </c>
      <c r="F136" s="82" t="s">
        <v>212</v>
      </c>
    </row>
    <row r="137" spans="1:6" x14ac:dyDescent="0.25">
      <c r="A137" t="s">
        <v>5</v>
      </c>
      <c r="B137" t="s">
        <v>53</v>
      </c>
      <c r="C137">
        <v>1</v>
      </c>
      <c r="D137" s="24">
        <v>44105</v>
      </c>
      <c r="E137" t="s">
        <v>192</v>
      </c>
      <c r="F137" s="82" t="s">
        <v>212</v>
      </c>
    </row>
    <row r="138" spans="1:6" x14ac:dyDescent="0.25">
      <c r="A138" t="s">
        <v>5</v>
      </c>
      <c r="B138" t="s">
        <v>53</v>
      </c>
      <c r="C138">
        <v>1</v>
      </c>
      <c r="D138" s="24">
        <v>44105</v>
      </c>
      <c r="E138" t="s">
        <v>192</v>
      </c>
      <c r="F138" s="82" t="s">
        <v>212</v>
      </c>
    </row>
    <row r="139" spans="1:6" x14ac:dyDescent="0.25">
      <c r="A139" t="s">
        <v>5</v>
      </c>
      <c r="B139" t="s">
        <v>53</v>
      </c>
      <c r="C139">
        <v>1</v>
      </c>
      <c r="D139" s="24">
        <v>44105</v>
      </c>
      <c r="E139" t="s">
        <v>192</v>
      </c>
      <c r="F139" s="82" t="s">
        <v>212</v>
      </c>
    </row>
    <row r="140" spans="1:6" x14ac:dyDescent="0.25">
      <c r="A140" t="s">
        <v>5</v>
      </c>
      <c r="B140" t="s">
        <v>53</v>
      </c>
      <c r="C140">
        <v>1</v>
      </c>
      <c r="D140" s="24">
        <v>44105</v>
      </c>
      <c r="E140" t="s">
        <v>192</v>
      </c>
      <c r="F140" s="82" t="s">
        <v>212</v>
      </c>
    </row>
    <row r="141" spans="1:6" x14ac:dyDescent="0.25">
      <c r="A141" t="s">
        <v>5</v>
      </c>
      <c r="B141" t="s">
        <v>53</v>
      </c>
      <c r="C141">
        <v>1</v>
      </c>
      <c r="D141" s="24">
        <v>44105</v>
      </c>
      <c r="E141" t="s">
        <v>192</v>
      </c>
      <c r="F141" s="82" t="s">
        <v>212</v>
      </c>
    </row>
    <row r="142" spans="1:6" x14ac:dyDescent="0.25">
      <c r="A142" t="s">
        <v>5</v>
      </c>
      <c r="B142" t="s">
        <v>53</v>
      </c>
      <c r="C142">
        <v>1</v>
      </c>
      <c r="D142" s="24">
        <v>44105</v>
      </c>
      <c r="E142" t="s">
        <v>192</v>
      </c>
      <c r="F142" s="82" t="s">
        <v>212</v>
      </c>
    </row>
    <row r="143" spans="1:6" x14ac:dyDescent="0.25">
      <c r="A143" t="s">
        <v>5</v>
      </c>
      <c r="B143" t="s">
        <v>53</v>
      </c>
      <c r="C143">
        <v>1</v>
      </c>
      <c r="D143" s="24">
        <v>44105</v>
      </c>
      <c r="E143" s="24" t="s">
        <v>192</v>
      </c>
      <c r="F143" s="82" t="s">
        <v>212</v>
      </c>
    </row>
    <row r="144" spans="1:6" x14ac:dyDescent="0.25">
      <c r="A144" t="s">
        <v>5</v>
      </c>
      <c r="B144" t="s">
        <v>53</v>
      </c>
      <c r="C144">
        <v>316</v>
      </c>
      <c r="D144" s="24">
        <v>44105</v>
      </c>
      <c r="E144" t="s">
        <v>192</v>
      </c>
      <c r="F144" s="82" t="s">
        <v>212</v>
      </c>
    </row>
    <row r="145" spans="1:6" x14ac:dyDescent="0.25">
      <c r="A145" t="s">
        <v>5</v>
      </c>
      <c r="B145" t="s">
        <v>53</v>
      </c>
      <c r="C145">
        <v>104</v>
      </c>
      <c r="D145" s="24">
        <v>44105</v>
      </c>
      <c r="E145" t="s">
        <v>192</v>
      </c>
      <c r="F145" s="82" t="s">
        <v>212</v>
      </c>
    </row>
    <row r="146" spans="1:6" x14ac:dyDescent="0.25">
      <c r="A146" t="s">
        <v>5</v>
      </c>
      <c r="B146" t="s">
        <v>53</v>
      </c>
      <c r="C146">
        <v>169</v>
      </c>
      <c r="D146" s="24">
        <v>44105</v>
      </c>
      <c r="E146" t="s">
        <v>192</v>
      </c>
      <c r="F146" s="82" t="s">
        <v>212</v>
      </c>
    </row>
    <row r="147" spans="1:6" x14ac:dyDescent="0.25">
      <c r="A147" t="s">
        <v>5</v>
      </c>
      <c r="B147" t="s">
        <v>53</v>
      </c>
      <c r="C147">
        <v>174</v>
      </c>
      <c r="D147" s="24">
        <v>44105</v>
      </c>
      <c r="E147" t="s">
        <v>192</v>
      </c>
      <c r="F147" s="82" t="s">
        <v>212</v>
      </c>
    </row>
    <row r="148" spans="1:6" x14ac:dyDescent="0.25">
      <c r="A148" t="s">
        <v>5</v>
      </c>
      <c r="B148" t="s">
        <v>53</v>
      </c>
      <c r="C148">
        <v>236</v>
      </c>
      <c r="D148" s="24">
        <v>44105</v>
      </c>
      <c r="E148" t="s">
        <v>192</v>
      </c>
      <c r="F148" s="82" t="s">
        <v>212</v>
      </c>
    </row>
    <row r="149" spans="1:6" x14ac:dyDescent="0.25">
      <c r="A149" t="s">
        <v>5</v>
      </c>
      <c r="B149" t="s">
        <v>53</v>
      </c>
      <c r="C149">
        <v>174</v>
      </c>
      <c r="D149" s="24">
        <v>44105</v>
      </c>
      <c r="E149" t="s">
        <v>192</v>
      </c>
      <c r="F149" s="82" t="s">
        <v>212</v>
      </c>
    </row>
    <row r="150" spans="1:6" x14ac:dyDescent="0.25">
      <c r="A150" t="s">
        <v>5</v>
      </c>
      <c r="B150" t="s">
        <v>53</v>
      </c>
      <c r="C150">
        <v>1</v>
      </c>
      <c r="D150" s="24">
        <v>44105</v>
      </c>
      <c r="E150" t="s">
        <v>192</v>
      </c>
      <c r="F150" s="82" t="s">
        <v>212</v>
      </c>
    </row>
    <row r="151" spans="1:6" x14ac:dyDescent="0.25">
      <c r="A151" t="s">
        <v>92</v>
      </c>
      <c r="B151" t="s">
        <v>53</v>
      </c>
      <c r="C151">
        <v>279</v>
      </c>
      <c r="D151" s="24">
        <v>44110</v>
      </c>
      <c r="E151" s="24" t="s">
        <v>192</v>
      </c>
    </row>
    <row r="152" spans="1:6" x14ac:dyDescent="0.25">
      <c r="A152" t="s">
        <v>92</v>
      </c>
      <c r="B152" t="s">
        <v>53</v>
      </c>
      <c r="C152">
        <v>481</v>
      </c>
      <c r="D152" s="24">
        <v>44110</v>
      </c>
      <c r="E152" t="s">
        <v>192</v>
      </c>
    </row>
    <row r="153" spans="1:6" x14ac:dyDescent="0.25">
      <c r="A153" t="s">
        <v>92</v>
      </c>
      <c r="B153" t="s">
        <v>53</v>
      </c>
      <c r="C153">
        <v>357</v>
      </c>
      <c r="D153" s="24">
        <v>44110</v>
      </c>
      <c r="E153" t="s">
        <v>192</v>
      </c>
    </row>
    <row r="154" spans="1:6" x14ac:dyDescent="0.25">
      <c r="A154" t="s">
        <v>4</v>
      </c>
      <c r="B154" t="s">
        <v>53</v>
      </c>
      <c r="C154">
        <v>222</v>
      </c>
      <c r="D154" s="24">
        <v>44110</v>
      </c>
      <c r="E154" t="s">
        <v>192</v>
      </c>
    </row>
    <row r="155" spans="1:6" x14ac:dyDescent="0.25">
      <c r="A155" t="s">
        <v>4</v>
      </c>
      <c r="B155" t="s">
        <v>53</v>
      </c>
      <c r="C155">
        <v>208</v>
      </c>
      <c r="D155" s="24">
        <v>44110</v>
      </c>
      <c r="E155" t="s">
        <v>192</v>
      </c>
    </row>
    <row r="156" spans="1:6" x14ac:dyDescent="0.25">
      <c r="A156" t="s">
        <v>4</v>
      </c>
      <c r="B156" t="s">
        <v>53</v>
      </c>
      <c r="C156">
        <v>209</v>
      </c>
      <c r="D156" s="24">
        <v>44110</v>
      </c>
      <c r="E156" t="s">
        <v>192</v>
      </c>
    </row>
    <row r="157" spans="1:6" x14ac:dyDescent="0.25">
      <c r="A157" t="s">
        <v>4</v>
      </c>
      <c r="B157" t="s">
        <v>53</v>
      </c>
      <c r="C157">
        <v>192</v>
      </c>
      <c r="D157" s="24">
        <v>44110</v>
      </c>
      <c r="E157" t="s">
        <v>192</v>
      </c>
    </row>
    <row r="158" spans="1:6" x14ac:dyDescent="0.25">
      <c r="A158" t="s">
        <v>4</v>
      </c>
      <c r="B158" t="s">
        <v>53</v>
      </c>
      <c r="C158">
        <v>488</v>
      </c>
      <c r="D158" s="24">
        <v>44110</v>
      </c>
      <c r="E158" t="s">
        <v>192</v>
      </c>
    </row>
    <row r="159" spans="1:6" x14ac:dyDescent="0.25">
      <c r="A159" t="s">
        <v>4</v>
      </c>
      <c r="B159" t="s">
        <v>53</v>
      </c>
      <c r="C159">
        <v>546</v>
      </c>
      <c r="D159" s="24">
        <v>44110</v>
      </c>
      <c r="E159" s="24" t="s">
        <v>192</v>
      </c>
    </row>
    <row r="160" spans="1:6" x14ac:dyDescent="0.25">
      <c r="A160" t="s">
        <v>127</v>
      </c>
      <c r="B160" t="s">
        <v>53</v>
      </c>
      <c r="C160">
        <v>1</v>
      </c>
      <c r="D160" s="24">
        <v>44110</v>
      </c>
      <c r="E160" t="s">
        <v>192</v>
      </c>
    </row>
    <row r="161" spans="1:5" x14ac:dyDescent="0.25">
      <c r="A161" t="s">
        <v>18</v>
      </c>
      <c r="B161" t="s">
        <v>53</v>
      </c>
      <c r="C161">
        <v>606</v>
      </c>
      <c r="D161" s="24">
        <v>44110</v>
      </c>
      <c r="E161" t="s">
        <v>192</v>
      </c>
    </row>
    <row r="162" spans="1:5" x14ac:dyDescent="0.25">
      <c r="A162" t="s">
        <v>18</v>
      </c>
      <c r="B162" t="s">
        <v>53</v>
      </c>
      <c r="C162">
        <v>306</v>
      </c>
      <c r="D162" s="24">
        <v>44110</v>
      </c>
      <c r="E162" t="s">
        <v>192</v>
      </c>
    </row>
    <row r="163" spans="1:5" x14ac:dyDescent="0.25">
      <c r="D163" s="24">
        <v>44110</v>
      </c>
      <c r="E163" t="s">
        <v>192</v>
      </c>
    </row>
    <row r="164" spans="1:5" x14ac:dyDescent="0.25">
      <c r="A164" t="s">
        <v>26</v>
      </c>
      <c r="B164" t="s">
        <v>53</v>
      </c>
      <c r="C164">
        <v>605</v>
      </c>
      <c r="D164" s="24">
        <v>44110</v>
      </c>
      <c r="E164" t="s">
        <v>192</v>
      </c>
    </row>
    <row r="165" spans="1:5" x14ac:dyDescent="0.25">
      <c r="A165" t="s">
        <v>26</v>
      </c>
      <c r="B165" t="s">
        <v>53</v>
      </c>
      <c r="C165">
        <v>217</v>
      </c>
      <c r="D165" s="24">
        <v>44110</v>
      </c>
      <c r="E165" t="s">
        <v>192</v>
      </c>
    </row>
    <row r="166" spans="1:5" x14ac:dyDescent="0.25">
      <c r="A166" t="s">
        <v>26</v>
      </c>
      <c r="B166" t="s">
        <v>53</v>
      </c>
      <c r="C166">
        <v>989</v>
      </c>
      <c r="D166" s="24">
        <v>44110</v>
      </c>
      <c r="E166" t="s">
        <v>192</v>
      </c>
    </row>
    <row r="167" spans="1:5" x14ac:dyDescent="0.25">
      <c r="D167" s="24">
        <v>44110</v>
      </c>
      <c r="E167" s="24" t="s">
        <v>192</v>
      </c>
    </row>
    <row r="168" spans="1:5" x14ac:dyDescent="0.25">
      <c r="A168" t="s">
        <v>2</v>
      </c>
      <c r="B168" t="s">
        <v>53</v>
      </c>
      <c r="C168">
        <v>1124</v>
      </c>
      <c r="D168" s="24">
        <v>44110</v>
      </c>
      <c r="E168" t="s">
        <v>192</v>
      </c>
    </row>
    <row r="169" spans="1:5" x14ac:dyDescent="0.25">
      <c r="A169" t="s">
        <v>2</v>
      </c>
      <c r="B169" t="s">
        <v>53</v>
      </c>
      <c r="C169">
        <v>640</v>
      </c>
      <c r="D169" s="24">
        <v>44110</v>
      </c>
      <c r="E169" t="s">
        <v>192</v>
      </c>
    </row>
    <row r="170" spans="1:5" x14ac:dyDescent="0.25">
      <c r="D170" s="24">
        <v>44110</v>
      </c>
      <c r="E170" t="s">
        <v>192</v>
      </c>
    </row>
    <row r="171" spans="1:5" x14ac:dyDescent="0.25">
      <c r="A171" t="s">
        <v>2</v>
      </c>
      <c r="B171" t="s">
        <v>53</v>
      </c>
      <c r="C171">
        <v>887</v>
      </c>
      <c r="D171" s="24">
        <v>44110</v>
      </c>
      <c r="E171" t="s">
        <v>192</v>
      </c>
    </row>
    <row r="172" spans="1:5" x14ac:dyDescent="0.25">
      <c r="A172" t="s">
        <v>2</v>
      </c>
      <c r="B172" t="s">
        <v>53</v>
      </c>
      <c r="C172">
        <v>500</v>
      </c>
      <c r="D172" s="24">
        <v>44110</v>
      </c>
      <c r="E172" t="s">
        <v>192</v>
      </c>
    </row>
    <row r="173" spans="1:5" x14ac:dyDescent="0.25">
      <c r="A173" t="s">
        <v>2</v>
      </c>
      <c r="B173" t="s">
        <v>53</v>
      </c>
      <c r="C173">
        <v>201</v>
      </c>
      <c r="D173" s="24">
        <v>44110</v>
      </c>
      <c r="E173" t="s">
        <v>192</v>
      </c>
    </row>
    <row r="174" spans="1:5" x14ac:dyDescent="0.25">
      <c r="A174" t="s">
        <v>2</v>
      </c>
      <c r="B174" t="s">
        <v>53</v>
      </c>
      <c r="C174">
        <v>50</v>
      </c>
      <c r="D174" s="24">
        <v>44110</v>
      </c>
      <c r="E174" t="s">
        <v>192</v>
      </c>
    </row>
    <row r="175" spans="1:5" x14ac:dyDescent="0.25">
      <c r="A175" t="s">
        <v>2</v>
      </c>
      <c r="B175" t="s">
        <v>53</v>
      </c>
      <c r="C175">
        <v>1033</v>
      </c>
      <c r="D175" s="24">
        <v>44110</v>
      </c>
      <c r="E175" t="s">
        <v>192</v>
      </c>
    </row>
    <row r="178" spans="1:5" x14ac:dyDescent="0.25">
      <c r="A178" t="s">
        <v>168</v>
      </c>
      <c r="B178" t="s">
        <v>53</v>
      </c>
      <c r="C178">
        <v>1669</v>
      </c>
      <c r="D178" s="24">
        <v>44110</v>
      </c>
      <c r="E178" t="s">
        <v>192</v>
      </c>
    </row>
    <row r="179" spans="1:5" x14ac:dyDescent="0.25">
      <c r="A179" t="s">
        <v>168</v>
      </c>
      <c r="B179" t="s">
        <v>53</v>
      </c>
      <c r="C179">
        <v>1419</v>
      </c>
      <c r="D179" s="24">
        <v>44110</v>
      </c>
      <c r="E179" t="s">
        <v>192</v>
      </c>
    </row>
    <row r="180" spans="1:5" x14ac:dyDescent="0.25">
      <c r="A180" t="s">
        <v>14</v>
      </c>
      <c r="B180" t="s">
        <v>53</v>
      </c>
      <c r="C180">
        <v>799</v>
      </c>
      <c r="D180" s="24">
        <v>44110</v>
      </c>
      <c r="E180" t="s">
        <v>192</v>
      </c>
    </row>
    <row r="181" spans="1:5" x14ac:dyDescent="0.25">
      <c r="A181" t="s">
        <v>50</v>
      </c>
      <c r="B181" t="s">
        <v>53</v>
      </c>
      <c r="C181">
        <v>1346</v>
      </c>
      <c r="D181" s="24">
        <v>44110</v>
      </c>
      <c r="E181" t="s">
        <v>192</v>
      </c>
    </row>
    <row r="182" spans="1:5" x14ac:dyDescent="0.25">
      <c r="A182" t="s">
        <v>50</v>
      </c>
      <c r="B182" t="s">
        <v>53</v>
      </c>
      <c r="C182">
        <v>1416</v>
      </c>
      <c r="D182" s="24">
        <v>44110</v>
      </c>
      <c r="E182" t="s">
        <v>192</v>
      </c>
    </row>
    <row r="183" spans="1:5" x14ac:dyDescent="0.25">
      <c r="A183" t="s">
        <v>13</v>
      </c>
      <c r="B183" t="s">
        <v>53</v>
      </c>
      <c r="C183">
        <v>657</v>
      </c>
      <c r="D183" s="24">
        <v>44110</v>
      </c>
      <c r="E183" s="24" t="s">
        <v>192</v>
      </c>
    </row>
    <row r="184" spans="1:5" x14ac:dyDescent="0.25">
      <c r="A184" t="s">
        <v>13</v>
      </c>
      <c r="B184" t="s">
        <v>53</v>
      </c>
      <c r="C184">
        <v>1094</v>
      </c>
      <c r="D184" s="24">
        <v>44110</v>
      </c>
      <c r="E184" t="s">
        <v>192</v>
      </c>
    </row>
    <row r="185" spans="1:5" x14ac:dyDescent="0.25">
      <c r="A185" t="s">
        <v>50</v>
      </c>
      <c r="B185" t="s">
        <v>53</v>
      </c>
      <c r="C185">
        <v>1385</v>
      </c>
      <c r="D185" s="24">
        <v>44110</v>
      </c>
      <c r="E185" t="s">
        <v>192</v>
      </c>
    </row>
    <row r="186" spans="1:5" x14ac:dyDescent="0.25">
      <c r="A186" t="s">
        <v>50</v>
      </c>
      <c r="B186" t="s">
        <v>53</v>
      </c>
      <c r="C186">
        <v>1002</v>
      </c>
      <c r="D186" s="24">
        <v>44110</v>
      </c>
      <c r="E186" t="s">
        <v>192</v>
      </c>
    </row>
    <row r="187" spans="1:5" x14ac:dyDescent="0.25">
      <c r="A187" t="s">
        <v>50</v>
      </c>
      <c r="B187" t="s">
        <v>53</v>
      </c>
      <c r="C187">
        <v>929</v>
      </c>
      <c r="D187" s="24">
        <v>44110</v>
      </c>
      <c r="E187" t="s">
        <v>192</v>
      </c>
    </row>
    <row r="188" spans="1:5" x14ac:dyDescent="0.25">
      <c r="A188" t="s">
        <v>50</v>
      </c>
      <c r="B188" t="s">
        <v>53</v>
      </c>
      <c r="C188">
        <v>925</v>
      </c>
      <c r="D188" s="24">
        <v>44110</v>
      </c>
      <c r="E188" t="s">
        <v>192</v>
      </c>
    </row>
    <row r="189" spans="1:5" x14ac:dyDescent="0.25">
      <c r="A189" t="s">
        <v>50</v>
      </c>
      <c r="B189" t="s">
        <v>53</v>
      </c>
      <c r="C189">
        <v>1</v>
      </c>
      <c r="D189" s="24">
        <v>44110</v>
      </c>
      <c r="E189" t="s">
        <v>192</v>
      </c>
    </row>
    <row r="190" spans="1:5" x14ac:dyDescent="0.25">
      <c r="A190" t="s">
        <v>50</v>
      </c>
      <c r="B190" t="s">
        <v>53</v>
      </c>
      <c r="C190">
        <v>882</v>
      </c>
      <c r="D190" s="24">
        <v>44110</v>
      </c>
      <c r="E190" t="s">
        <v>192</v>
      </c>
    </row>
    <row r="191" spans="1:5" x14ac:dyDescent="0.25">
      <c r="A191" t="s">
        <v>50</v>
      </c>
      <c r="B191" t="s">
        <v>53</v>
      </c>
      <c r="C191">
        <v>1402</v>
      </c>
      <c r="D191" s="24">
        <v>44110</v>
      </c>
      <c r="E191" t="s">
        <v>192</v>
      </c>
    </row>
    <row r="192" spans="1:5" x14ac:dyDescent="0.25">
      <c r="A192" t="s">
        <v>50</v>
      </c>
      <c r="B192" t="s">
        <v>53</v>
      </c>
      <c r="C192">
        <v>966</v>
      </c>
      <c r="D192" s="24">
        <v>44110</v>
      </c>
      <c r="E192" t="s">
        <v>192</v>
      </c>
    </row>
    <row r="193" spans="1:6" x14ac:dyDescent="0.25">
      <c r="A193" t="s">
        <v>13</v>
      </c>
      <c r="B193" t="s">
        <v>53</v>
      </c>
      <c r="C193">
        <v>520</v>
      </c>
      <c r="D193" s="24">
        <v>44110</v>
      </c>
      <c r="E193" t="s">
        <v>192</v>
      </c>
    </row>
    <row r="194" spans="1:6" x14ac:dyDescent="0.25">
      <c r="A194" t="s">
        <v>13</v>
      </c>
      <c r="B194" t="s">
        <v>53</v>
      </c>
      <c r="C194">
        <v>520</v>
      </c>
      <c r="D194" s="24">
        <v>44110</v>
      </c>
      <c r="E194" t="s">
        <v>192</v>
      </c>
    </row>
    <row r="195" spans="1:6" x14ac:dyDescent="0.25">
      <c r="A195" t="s">
        <v>13</v>
      </c>
      <c r="B195" t="s">
        <v>53</v>
      </c>
      <c r="C195">
        <v>586</v>
      </c>
      <c r="D195" s="24">
        <v>44110</v>
      </c>
      <c r="E195" t="s">
        <v>192</v>
      </c>
    </row>
    <row r="196" spans="1:6" x14ac:dyDescent="0.25">
      <c r="A196" t="s">
        <v>13</v>
      </c>
      <c r="B196" t="s">
        <v>53</v>
      </c>
      <c r="C196">
        <v>661</v>
      </c>
      <c r="D196" s="24">
        <v>44110</v>
      </c>
      <c r="E196" t="s">
        <v>192</v>
      </c>
    </row>
    <row r="197" spans="1:6" x14ac:dyDescent="0.25">
      <c r="A197" t="s">
        <v>13</v>
      </c>
      <c r="B197" t="s">
        <v>53</v>
      </c>
      <c r="C197">
        <v>510</v>
      </c>
      <c r="D197" s="24">
        <v>44110</v>
      </c>
      <c r="E197" s="24" t="s">
        <v>192</v>
      </c>
    </row>
    <row r="198" spans="1:6" x14ac:dyDescent="0.25">
      <c r="A198" t="s">
        <v>13</v>
      </c>
      <c r="B198" t="s">
        <v>53</v>
      </c>
      <c r="C198">
        <v>258</v>
      </c>
      <c r="D198" s="24">
        <v>44110</v>
      </c>
      <c r="E198" t="s">
        <v>192</v>
      </c>
    </row>
    <row r="199" spans="1:6" x14ac:dyDescent="0.25">
      <c r="A199" t="s">
        <v>13</v>
      </c>
      <c r="B199" t="s">
        <v>53</v>
      </c>
      <c r="C199">
        <v>445</v>
      </c>
      <c r="D199" s="24">
        <v>44110</v>
      </c>
      <c r="E199" t="s">
        <v>192</v>
      </c>
    </row>
    <row r="200" spans="1:6" x14ac:dyDescent="0.25">
      <c r="A200" s="55" t="s">
        <v>201</v>
      </c>
      <c r="B200" s="74" t="s">
        <v>245</v>
      </c>
      <c r="C200" s="56">
        <v>1019</v>
      </c>
      <c r="D200" s="24">
        <v>44117</v>
      </c>
      <c r="E200" t="s">
        <v>216</v>
      </c>
      <c r="F200" t="s">
        <v>224</v>
      </c>
    </row>
    <row r="201" spans="1:6" x14ac:dyDescent="0.25">
      <c r="A201" s="55" t="s">
        <v>201</v>
      </c>
      <c r="B201" s="74" t="s">
        <v>245</v>
      </c>
      <c r="C201" s="56">
        <v>988</v>
      </c>
      <c r="D201" s="24">
        <v>44117</v>
      </c>
      <c r="E201" t="s">
        <v>216</v>
      </c>
      <c r="F201" t="s">
        <v>224</v>
      </c>
    </row>
    <row r="202" spans="1:6" x14ac:dyDescent="0.25">
      <c r="A202" s="55" t="s">
        <v>219</v>
      </c>
      <c r="B202" s="74" t="s">
        <v>245</v>
      </c>
      <c r="C202" s="56">
        <v>718</v>
      </c>
      <c r="D202" s="24">
        <v>44117</v>
      </c>
      <c r="E202" t="s">
        <v>216</v>
      </c>
      <c r="F202" t="s">
        <v>224</v>
      </c>
    </row>
    <row r="203" spans="1:6" x14ac:dyDescent="0.25">
      <c r="A203" s="55" t="s">
        <v>219</v>
      </c>
      <c r="B203" s="74" t="s">
        <v>245</v>
      </c>
      <c r="C203" s="59">
        <v>720</v>
      </c>
      <c r="D203" s="24">
        <v>44117</v>
      </c>
      <c r="E203" t="s">
        <v>216</v>
      </c>
      <c r="F203" t="s">
        <v>224</v>
      </c>
    </row>
    <row r="204" spans="1:6" x14ac:dyDescent="0.25">
      <c r="A204" s="55" t="s">
        <v>220</v>
      </c>
      <c r="B204" s="74" t="s">
        <v>245</v>
      </c>
      <c r="C204" s="11">
        <v>821</v>
      </c>
      <c r="D204" s="24">
        <v>44117</v>
      </c>
      <c r="E204" t="s">
        <v>216</v>
      </c>
      <c r="F204" t="s">
        <v>224</v>
      </c>
    </row>
    <row r="205" spans="1:6" x14ac:dyDescent="0.25">
      <c r="A205" s="55" t="s">
        <v>221</v>
      </c>
      <c r="B205" s="74" t="s">
        <v>245</v>
      </c>
      <c r="C205" s="11">
        <v>747</v>
      </c>
      <c r="D205" s="24">
        <v>44117</v>
      </c>
      <c r="E205" t="s">
        <v>216</v>
      </c>
      <c r="F205" t="s">
        <v>224</v>
      </c>
    </row>
    <row r="206" spans="1:6" x14ac:dyDescent="0.25">
      <c r="A206" s="55" t="s">
        <v>221</v>
      </c>
      <c r="B206" s="74" t="s">
        <v>245</v>
      </c>
      <c r="C206" s="11">
        <v>810</v>
      </c>
      <c r="D206" s="24">
        <v>44117</v>
      </c>
      <c r="E206" t="s">
        <v>216</v>
      </c>
      <c r="F206" t="s">
        <v>224</v>
      </c>
    </row>
    <row r="207" spans="1:6" x14ac:dyDescent="0.25">
      <c r="A207" s="55" t="s">
        <v>221</v>
      </c>
      <c r="B207" s="74" t="s">
        <v>245</v>
      </c>
      <c r="C207" s="11">
        <v>749</v>
      </c>
      <c r="D207" s="24">
        <v>44117</v>
      </c>
      <c r="E207" t="s">
        <v>216</v>
      </c>
      <c r="F207" t="s">
        <v>224</v>
      </c>
    </row>
    <row r="208" spans="1:6" x14ac:dyDescent="0.25">
      <c r="A208" s="55" t="s">
        <v>222</v>
      </c>
      <c r="B208" s="74" t="s">
        <v>245</v>
      </c>
      <c r="C208" s="11">
        <v>802</v>
      </c>
      <c r="D208" s="24">
        <v>44117</v>
      </c>
      <c r="E208" t="s">
        <v>216</v>
      </c>
      <c r="F208" t="s">
        <v>224</v>
      </c>
    </row>
    <row r="209" spans="1:6" x14ac:dyDescent="0.25">
      <c r="A209" s="55" t="s">
        <v>223</v>
      </c>
      <c r="B209" s="74" t="s">
        <v>245</v>
      </c>
      <c r="C209" s="11">
        <v>606</v>
      </c>
      <c r="D209" s="24">
        <v>44117</v>
      </c>
      <c r="E209" t="s">
        <v>216</v>
      </c>
      <c r="F209" t="s">
        <v>224</v>
      </c>
    </row>
    <row r="210" spans="1:6" x14ac:dyDescent="0.25">
      <c r="A210" t="s">
        <v>5</v>
      </c>
      <c r="B210" s="85" t="s">
        <v>53</v>
      </c>
      <c r="C210" s="50">
        <v>199</v>
      </c>
      <c r="D210" s="24">
        <v>44131</v>
      </c>
      <c r="E210" s="85" t="s">
        <v>192</v>
      </c>
      <c r="F210" s="85"/>
    </row>
    <row r="211" spans="1:6" x14ac:dyDescent="0.25">
      <c r="A211" t="s">
        <v>5</v>
      </c>
      <c r="B211" t="s">
        <v>53</v>
      </c>
      <c r="C211">
        <v>194</v>
      </c>
      <c r="D211" s="24">
        <v>44131</v>
      </c>
      <c r="E211" t="s">
        <v>192</v>
      </c>
    </row>
    <row r="212" spans="1:6" x14ac:dyDescent="0.25">
      <c r="A212" t="s">
        <v>5</v>
      </c>
      <c r="B212" t="s">
        <v>53</v>
      </c>
      <c r="C212">
        <v>173</v>
      </c>
      <c r="D212" s="24">
        <v>44131</v>
      </c>
      <c r="E212" t="s">
        <v>192</v>
      </c>
    </row>
    <row r="213" spans="1:6" x14ac:dyDescent="0.25">
      <c r="A213" t="s">
        <v>5</v>
      </c>
      <c r="B213" t="s">
        <v>53</v>
      </c>
      <c r="C213">
        <v>129</v>
      </c>
      <c r="D213" s="24">
        <v>44131</v>
      </c>
      <c r="E213" t="s">
        <v>192</v>
      </c>
    </row>
    <row r="214" spans="1:6" x14ac:dyDescent="0.25">
      <c r="A214" t="s">
        <v>5</v>
      </c>
      <c r="B214" t="s">
        <v>53</v>
      </c>
      <c r="C214">
        <v>220</v>
      </c>
      <c r="D214" s="24">
        <v>44131</v>
      </c>
      <c r="E214" t="s">
        <v>192</v>
      </c>
    </row>
    <row r="215" spans="1:6" x14ac:dyDescent="0.25">
      <c r="A215" t="s">
        <v>5</v>
      </c>
      <c r="B215" t="s">
        <v>53</v>
      </c>
      <c r="C215">
        <v>138</v>
      </c>
      <c r="D215" s="24">
        <v>44131</v>
      </c>
      <c r="E215" t="s">
        <v>192</v>
      </c>
    </row>
    <row r="216" spans="1:6" x14ac:dyDescent="0.25">
      <c r="A216" t="s">
        <v>21</v>
      </c>
      <c r="B216" t="s">
        <v>53</v>
      </c>
      <c r="C216">
        <v>6</v>
      </c>
      <c r="D216" s="24">
        <v>44134</v>
      </c>
      <c r="E216" t="s">
        <v>192</v>
      </c>
    </row>
    <row r="217" spans="1:6" x14ac:dyDescent="0.25">
      <c r="A217" t="s">
        <v>21</v>
      </c>
      <c r="B217" t="s">
        <v>53</v>
      </c>
      <c r="C217">
        <v>1</v>
      </c>
      <c r="D217" s="24">
        <v>44134</v>
      </c>
      <c r="E217" t="s">
        <v>192</v>
      </c>
    </row>
    <row r="218" spans="1:6" x14ac:dyDescent="0.25">
      <c r="A218" t="s">
        <v>21</v>
      </c>
      <c r="B218" t="s">
        <v>53</v>
      </c>
      <c r="C218">
        <v>1</v>
      </c>
      <c r="D218" s="24">
        <v>44134</v>
      </c>
      <c r="E218" t="s">
        <v>192</v>
      </c>
    </row>
    <row r="219" spans="1:6" x14ac:dyDescent="0.25">
      <c r="A219" t="s">
        <v>21</v>
      </c>
      <c r="B219" t="s">
        <v>53</v>
      </c>
      <c r="C219">
        <v>11</v>
      </c>
      <c r="D219" s="24">
        <v>44134</v>
      </c>
      <c r="E219" t="s">
        <v>192</v>
      </c>
    </row>
    <row r="220" spans="1:6" x14ac:dyDescent="0.25">
      <c r="A220" t="s">
        <v>21</v>
      </c>
      <c r="B220" t="s">
        <v>53</v>
      </c>
      <c r="C220">
        <v>1</v>
      </c>
      <c r="D220" s="24">
        <v>44134</v>
      </c>
      <c r="E220" t="s">
        <v>192</v>
      </c>
    </row>
    <row r="221" spans="1:6" x14ac:dyDescent="0.25">
      <c r="A221" t="s">
        <v>21</v>
      </c>
      <c r="B221" t="s">
        <v>53</v>
      </c>
      <c r="C221">
        <v>1</v>
      </c>
      <c r="D221" s="24">
        <v>44134</v>
      </c>
      <c r="E221" t="s">
        <v>192</v>
      </c>
    </row>
    <row r="222" spans="1:6" x14ac:dyDescent="0.25">
      <c r="A222" t="s">
        <v>21</v>
      </c>
      <c r="B222" t="s">
        <v>53</v>
      </c>
      <c r="C222">
        <v>28</v>
      </c>
      <c r="D222" s="24">
        <v>44134</v>
      </c>
      <c r="E222" t="s">
        <v>192</v>
      </c>
    </row>
    <row r="223" spans="1:6" x14ac:dyDescent="0.25">
      <c r="A223" t="s">
        <v>21</v>
      </c>
      <c r="B223" t="s">
        <v>53</v>
      </c>
      <c r="C223">
        <v>20</v>
      </c>
      <c r="D223" s="24">
        <v>44134</v>
      </c>
      <c r="E223" t="s">
        <v>192</v>
      </c>
    </row>
    <row r="224" spans="1:6" x14ac:dyDescent="0.25">
      <c r="A224" t="s">
        <v>21</v>
      </c>
      <c r="B224" t="s">
        <v>53</v>
      </c>
      <c r="C224">
        <v>21</v>
      </c>
      <c r="D224" s="24">
        <v>44134</v>
      </c>
      <c r="E224" t="s">
        <v>192</v>
      </c>
    </row>
    <row r="225" spans="1:5" x14ac:dyDescent="0.25">
      <c r="A225" t="s">
        <v>21</v>
      </c>
      <c r="B225" t="s">
        <v>53</v>
      </c>
      <c r="C225">
        <v>7</v>
      </c>
      <c r="D225" s="24">
        <v>44134</v>
      </c>
      <c r="E225" t="s">
        <v>192</v>
      </c>
    </row>
    <row r="226" spans="1:5" x14ac:dyDescent="0.25">
      <c r="A226" t="s">
        <v>21</v>
      </c>
      <c r="B226" t="s">
        <v>53</v>
      </c>
      <c r="C226">
        <v>16</v>
      </c>
      <c r="D226" s="24">
        <v>44134</v>
      </c>
      <c r="E226" t="s">
        <v>192</v>
      </c>
    </row>
    <row r="227" spans="1:5" x14ac:dyDescent="0.25">
      <c r="A227" t="s">
        <v>58</v>
      </c>
      <c r="B227" t="s">
        <v>53</v>
      </c>
      <c r="C227">
        <v>495</v>
      </c>
      <c r="D227" s="24">
        <v>44133</v>
      </c>
      <c r="E227" t="s">
        <v>192</v>
      </c>
    </row>
    <row r="228" spans="1:5" x14ac:dyDescent="0.25">
      <c r="A228" t="s">
        <v>58</v>
      </c>
      <c r="B228" t="s">
        <v>53</v>
      </c>
      <c r="C228">
        <v>397</v>
      </c>
      <c r="D228" s="24">
        <v>44133</v>
      </c>
      <c r="E228" t="s">
        <v>192</v>
      </c>
    </row>
    <row r="229" spans="1:5" x14ac:dyDescent="0.25">
      <c r="A229" t="s">
        <v>13</v>
      </c>
      <c r="B229" t="s">
        <v>53</v>
      </c>
      <c r="C229" s="85">
        <v>520</v>
      </c>
      <c r="D229" s="24">
        <v>44131</v>
      </c>
      <c r="E229" t="s">
        <v>192</v>
      </c>
    </row>
    <row r="230" spans="1:5" x14ac:dyDescent="0.25">
      <c r="A230" t="s">
        <v>13</v>
      </c>
      <c r="B230" t="s">
        <v>53</v>
      </c>
      <c r="C230">
        <v>586</v>
      </c>
      <c r="D230" s="24">
        <v>44131</v>
      </c>
      <c r="E230" t="s">
        <v>192</v>
      </c>
    </row>
    <row r="231" spans="1:5" x14ac:dyDescent="0.25">
      <c r="A231" t="s">
        <v>13</v>
      </c>
      <c r="B231" t="s">
        <v>53</v>
      </c>
      <c r="C231">
        <v>661</v>
      </c>
      <c r="D231" s="24">
        <v>44131</v>
      </c>
      <c r="E231" t="s">
        <v>192</v>
      </c>
    </row>
    <row r="232" spans="1:5" x14ac:dyDescent="0.25">
      <c r="A232" t="s">
        <v>13</v>
      </c>
      <c r="B232" t="s">
        <v>53</v>
      </c>
      <c r="C232">
        <v>510</v>
      </c>
      <c r="D232" s="24">
        <v>44131</v>
      </c>
      <c r="E232" t="s">
        <v>192</v>
      </c>
    </row>
    <row r="233" spans="1:5" x14ac:dyDescent="0.25">
      <c r="A233" t="s">
        <v>13</v>
      </c>
      <c r="B233" t="s">
        <v>53</v>
      </c>
      <c r="C233">
        <v>258</v>
      </c>
      <c r="D233" s="24">
        <v>44131</v>
      </c>
      <c r="E233" t="s">
        <v>192</v>
      </c>
    </row>
    <row r="234" spans="1:5" x14ac:dyDescent="0.25">
      <c r="A234" t="s">
        <v>13</v>
      </c>
      <c r="B234" t="s">
        <v>53</v>
      </c>
      <c r="C234">
        <v>445</v>
      </c>
      <c r="D234" s="24">
        <v>44131</v>
      </c>
      <c r="E234" t="s">
        <v>192</v>
      </c>
    </row>
    <row r="235" spans="1:5" x14ac:dyDescent="0.25">
      <c r="A235" t="s">
        <v>60</v>
      </c>
      <c r="B235" t="s">
        <v>53</v>
      </c>
      <c r="C235">
        <v>275</v>
      </c>
      <c r="D235" s="24">
        <v>44124</v>
      </c>
      <c r="E235" t="s">
        <v>192</v>
      </c>
    </row>
    <row r="236" spans="1:5" x14ac:dyDescent="0.25">
      <c r="A236" t="s">
        <v>60</v>
      </c>
      <c r="B236" t="s">
        <v>53</v>
      </c>
      <c r="C236">
        <v>542</v>
      </c>
      <c r="D236" s="24">
        <v>44124</v>
      </c>
      <c r="E236" t="s">
        <v>192</v>
      </c>
    </row>
    <row r="237" spans="1:5" x14ac:dyDescent="0.25">
      <c r="A237" t="s">
        <v>60</v>
      </c>
      <c r="B237" t="s">
        <v>53</v>
      </c>
      <c r="C237">
        <v>1360</v>
      </c>
      <c r="D237" s="24">
        <v>44124</v>
      </c>
      <c r="E237" t="s">
        <v>192</v>
      </c>
    </row>
    <row r="238" spans="1:5" x14ac:dyDescent="0.25">
      <c r="A238" t="s">
        <v>60</v>
      </c>
      <c r="B238" t="s">
        <v>53</v>
      </c>
      <c r="C238">
        <v>2220</v>
      </c>
      <c r="D238" s="24">
        <v>44124</v>
      </c>
      <c r="E238" t="s">
        <v>192</v>
      </c>
    </row>
    <row r="239" spans="1:5" x14ac:dyDescent="0.25">
      <c r="A239" t="s">
        <v>50</v>
      </c>
      <c r="B239" t="s">
        <v>53</v>
      </c>
      <c r="C239">
        <v>1484</v>
      </c>
      <c r="D239" s="24">
        <v>44141</v>
      </c>
      <c r="E239" t="s">
        <v>192</v>
      </c>
    </row>
    <row r="240" spans="1:5" x14ac:dyDescent="0.25">
      <c r="A240" t="s">
        <v>50</v>
      </c>
      <c r="B240" t="s">
        <v>53</v>
      </c>
      <c r="C240">
        <v>1</v>
      </c>
      <c r="D240" s="24">
        <v>44141</v>
      </c>
      <c r="E240" t="s">
        <v>192</v>
      </c>
    </row>
    <row r="241" spans="1:5" x14ac:dyDescent="0.25">
      <c r="A241" t="s">
        <v>50</v>
      </c>
      <c r="B241" t="s">
        <v>53</v>
      </c>
      <c r="C241">
        <v>1</v>
      </c>
      <c r="D241" s="24">
        <v>44141</v>
      </c>
      <c r="E241" t="s">
        <v>192</v>
      </c>
    </row>
    <row r="242" spans="1:5" x14ac:dyDescent="0.25">
      <c r="A242" t="s">
        <v>50</v>
      </c>
      <c r="B242" t="s">
        <v>53</v>
      </c>
      <c r="C242">
        <v>1242</v>
      </c>
      <c r="D242" s="24">
        <v>44141</v>
      </c>
      <c r="E242" t="s">
        <v>192</v>
      </c>
    </row>
    <row r="243" spans="1:5" x14ac:dyDescent="0.25">
      <c r="A243" t="s">
        <v>50</v>
      </c>
      <c r="B243" t="s">
        <v>53</v>
      </c>
      <c r="C243">
        <v>1259</v>
      </c>
      <c r="D243" s="24">
        <v>44141</v>
      </c>
      <c r="E243" t="s">
        <v>192</v>
      </c>
    </row>
    <row r="244" spans="1:5" x14ac:dyDescent="0.25">
      <c r="A244" t="s">
        <v>50</v>
      </c>
      <c r="B244" t="s">
        <v>53</v>
      </c>
      <c r="C244">
        <v>1285</v>
      </c>
      <c r="D244" s="24">
        <v>44141</v>
      </c>
      <c r="E244" t="s">
        <v>192</v>
      </c>
    </row>
    <row r="245" spans="1:5" x14ac:dyDescent="0.25">
      <c r="A245" t="s">
        <v>50</v>
      </c>
      <c r="B245" t="s">
        <v>53</v>
      </c>
      <c r="C245">
        <v>1367</v>
      </c>
      <c r="D245" s="24">
        <v>44141</v>
      </c>
      <c r="E245" t="s">
        <v>192</v>
      </c>
    </row>
    <row r="246" spans="1:5" x14ac:dyDescent="0.25">
      <c r="A246" t="s">
        <v>50</v>
      </c>
      <c r="B246" t="s">
        <v>53</v>
      </c>
      <c r="C246">
        <v>1117</v>
      </c>
      <c r="D246" s="24">
        <v>44141</v>
      </c>
      <c r="E246" t="s">
        <v>192</v>
      </c>
    </row>
    <row r="247" spans="1:5" x14ac:dyDescent="0.25">
      <c r="A247" t="s">
        <v>50</v>
      </c>
      <c r="B247" t="s">
        <v>53</v>
      </c>
      <c r="C247">
        <v>1249</v>
      </c>
      <c r="D247" s="24">
        <v>44141</v>
      </c>
      <c r="E247" t="s">
        <v>192</v>
      </c>
    </row>
    <row r="248" spans="1:5" x14ac:dyDescent="0.25">
      <c r="A248" t="s">
        <v>50</v>
      </c>
      <c r="B248" t="s">
        <v>53</v>
      </c>
      <c r="C248">
        <v>1374</v>
      </c>
      <c r="D248" s="24">
        <v>44141</v>
      </c>
      <c r="E248" t="s">
        <v>192</v>
      </c>
    </row>
    <row r="249" spans="1:5" x14ac:dyDescent="0.25">
      <c r="A249" t="s">
        <v>50</v>
      </c>
      <c r="B249" t="s">
        <v>53</v>
      </c>
      <c r="C249">
        <v>1114</v>
      </c>
      <c r="D249" s="24">
        <v>44141</v>
      </c>
      <c r="E249" t="s">
        <v>192</v>
      </c>
    </row>
    <row r="250" spans="1:5" x14ac:dyDescent="0.25">
      <c r="A250" t="s">
        <v>50</v>
      </c>
      <c r="B250" t="s">
        <v>53</v>
      </c>
      <c r="C250">
        <v>1341</v>
      </c>
      <c r="D250" s="24">
        <v>44141</v>
      </c>
      <c r="E250" t="s">
        <v>192</v>
      </c>
    </row>
    <row r="251" spans="1:5" x14ac:dyDescent="0.25">
      <c r="A251" t="s">
        <v>50</v>
      </c>
      <c r="B251" t="s">
        <v>53</v>
      </c>
      <c r="C251">
        <v>1373</v>
      </c>
      <c r="D251" s="24">
        <v>44141</v>
      </c>
      <c r="E251" t="s">
        <v>192</v>
      </c>
    </row>
    <row r="252" spans="1:5" x14ac:dyDescent="0.25">
      <c r="A252" t="s">
        <v>0</v>
      </c>
      <c r="B252" t="s">
        <v>49</v>
      </c>
      <c r="C252">
        <v>340</v>
      </c>
      <c r="D252" s="24">
        <v>44145</v>
      </c>
      <c r="E252" t="s">
        <v>192</v>
      </c>
    </row>
    <row r="253" spans="1:5" x14ac:dyDescent="0.25">
      <c r="A253" t="s">
        <v>0</v>
      </c>
      <c r="B253" t="s">
        <v>49</v>
      </c>
      <c r="C253">
        <v>567</v>
      </c>
      <c r="D253" s="24">
        <v>44145</v>
      </c>
      <c r="E253" t="s">
        <v>192</v>
      </c>
    </row>
    <row r="254" spans="1:5" x14ac:dyDescent="0.25">
      <c r="A254" t="s">
        <v>0</v>
      </c>
      <c r="B254" t="s">
        <v>49</v>
      </c>
      <c r="C254">
        <v>905</v>
      </c>
      <c r="D254" s="24">
        <v>44145</v>
      </c>
      <c r="E254" t="s">
        <v>192</v>
      </c>
    </row>
    <row r="255" spans="1:5" x14ac:dyDescent="0.25">
      <c r="A255" t="s">
        <v>0</v>
      </c>
      <c r="B255" t="s">
        <v>49</v>
      </c>
      <c r="C255">
        <v>1152</v>
      </c>
      <c r="D255" s="24">
        <v>44145</v>
      </c>
      <c r="E255" t="s">
        <v>192</v>
      </c>
    </row>
    <row r="256" spans="1:5" x14ac:dyDescent="0.25">
      <c r="A256" t="s">
        <v>0</v>
      </c>
      <c r="B256" t="s">
        <v>49</v>
      </c>
      <c r="C256">
        <v>1103</v>
      </c>
      <c r="D256" s="24">
        <v>44145</v>
      </c>
      <c r="E256" t="s">
        <v>192</v>
      </c>
    </row>
    <row r="257" spans="1:5" x14ac:dyDescent="0.25">
      <c r="A257" t="s">
        <v>0</v>
      </c>
      <c r="B257" t="s">
        <v>49</v>
      </c>
      <c r="C257">
        <v>580</v>
      </c>
      <c r="D257" s="24">
        <v>44145</v>
      </c>
      <c r="E257" t="s">
        <v>192</v>
      </c>
    </row>
    <row r="258" spans="1:5" x14ac:dyDescent="0.25">
      <c r="A258" t="s">
        <v>0</v>
      </c>
      <c r="B258" t="s">
        <v>49</v>
      </c>
      <c r="C258">
        <v>480</v>
      </c>
      <c r="D258" s="24">
        <v>44145</v>
      </c>
      <c r="E258" t="s">
        <v>192</v>
      </c>
    </row>
    <row r="259" spans="1:5" x14ac:dyDescent="0.25">
      <c r="A259" t="s">
        <v>0</v>
      </c>
      <c r="B259" t="s">
        <v>49</v>
      </c>
      <c r="C259">
        <v>640</v>
      </c>
      <c r="D259" s="24">
        <v>44145</v>
      </c>
      <c r="E259" t="s">
        <v>192</v>
      </c>
    </row>
    <row r="260" spans="1:5" x14ac:dyDescent="0.25">
      <c r="A260" t="s">
        <v>0</v>
      </c>
      <c r="B260" t="s">
        <v>49</v>
      </c>
      <c r="C260">
        <v>560</v>
      </c>
      <c r="D260" s="24">
        <v>44145</v>
      </c>
      <c r="E260" t="s">
        <v>192</v>
      </c>
    </row>
    <row r="261" spans="1:5" x14ac:dyDescent="0.25">
      <c r="A261" t="s">
        <v>0</v>
      </c>
      <c r="B261" t="s">
        <v>49</v>
      </c>
      <c r="C261">
        <v>100</v>
      </c>
      <c r="D261" s="24">
        <v>44145</v>
      </c>
      <c r="E261" t="s">
        <v>192</v>
      </c>
    </row>
    <row r="262" spans="1:5" x14ac:dyDescent="0.25">
      <c r="A262" t="s">
        <v>0</v>
      </c>
      <c r="B262" t="s">
        <v>53</v>
      </c>
      <c r="C262">
        <v>198</v>
      </c>
      <c r="D262" s="24">
        <v>44145</v>
      </c>
      <c r="E262" t="s">
        <v>192</v>
      </c>
    </row>
    <row r="263" spans="1:5" x14ac:dyDescent="0.25">
      <c r="A263" t="s">
        <v>0</v>
      </c>
      <c r="B263" t="s">
        <v>49</v>
      </c>
      <c r="C263">
        <v>557</v>
      </c>
      <c r="D263" s="24">
        <v>44145</v>
      </c>
      <c r="E263" t="s">
        <v>192</v>
      </c>
    </row>
    <row r="264" spans="1:5" x14ac:dyDescent="0.25">
      <c r="A264" t="s">
        <v>0</v>
      </c>
      <c r="B264" t="s">
        <v>49</v>
      </c>
      <c r="C264">
        <v>977</v>
      </c>
      <c r="D264" s="24">
        <v>44145</v>
      </c>
      <c r="E264" t="s">
        <v>192</v>
      </c>
    </row>
    <row r="265" spans="1:5" x14ac:dyDescent="0.25">
      <c r="A265" t="s">
        <v>0</v>
      </c>
      <c r="B265" t="s">
        <v>49</v>
      </c>
      <c r="C265">
        <v>302</v>
      </c>
      <c r="D265" s="24">
        <v>44145</v>
      </c>
      <c r="E265" t="s">
        <v>192</v>
      </c>
    </row>
    <row r="266" spans="1:5" x14ac:dyDescent="0.25">
      <c r="A266" t="s">
        <v>0</v>
      </c>
      <c r="B266" t="s">
        <v>49</v>
      </c>
      <c r="C266">
        <v>721</v>
      </c>
      <c r="D266" s="24">
        <v>44145</v>
      </c>
      <c r="E266" t="s">
        <v>192</v>
      </c>
    </row>
    <row r="267" spans="1:5" x14ac:dyDescent="0.25">
      <c r="A267" t="s">
        <v>0</v>
      </c>
      <c r="B267" t="s">
        <v>49</v>
      </c>
      <c r="C267">
        <v>1</v>
      </c>
      <c r="D267" s="24">
        <v>44145</v>
      </c>
      <c r="E267" t="s">
        <v>192</v>
      </c>
    </row>
    <row r="268" spans="1:5" x14ac:dyDescent="0.25">
      <c r="A268" t="s">
        <v>0</v>
      </c>
      <c r="B268" t="s">
        <v>49</v>
      </c>
      <c r="C268">
        <v>1</v>
      </c>
      <c r="D268" s="24">
        <v>44145</v>
      </c>
      <c r="E268" t="s">
        <v>192</v>
      </c>
    </row>
    <row r="269" spans="1:5" x14ac:dyDescent="0.25">
      <c r="A269" t="s">
        <v>0</v>
      </c>
      <c r="B269" t="s">
        <v>49</v>
      </c>
      <c r="C269">
        <v>1</v>
      </c>
      <c r="D269" s="24">
        <v>44145</v>
      </c>
      <c r="E269" t="s">
        <v>192</v>
      </c>
    </row>
    <row r="270" spans="1:5" x14ac:dyDescent="0.25">
      <c r="A270" t="s">
        <v>0</v>
      </c>
      <c r="B270" t="s">
        <v>49</v>
      </c>
      <c r="C270">
        <v>1</v>
      </c>
      <c r="D270" s="24">
        <v>44145</v>
      </c>
      <c r="E270" t="s">
        <v>192</v>
      </c>
    </row>
    <row r="271" spans="1:5" x14ac:dyDescent="0.25">
      <c r="A271" t="s">
        <v>0</v>
      </c>
      <c r="B271" t="s">
        <v>49</v>
      </c>
      <c r="C271">
        <v>1</v>
      </c>
      <c r="D271" s="24">
        <v>44145</v>
      </c>
      <c r="E271" t="s">
        <v>192</v>
      </c>
    </row>
    <row r="272" spans="1:5" x14ac:dyDescent="0.25">
      <c r="A272" t="s">
        <v>1</v>
      </c>
      <c r="B272" t="s">
        <v>53</v>
      </c>
      <c r="C272">
        <v>346</v>
      </c>
      <c r="D272" s="24">
        <v>44145</v>
      </c>
      <c r="E272" t="s">
        <v>192</v>
      </c>
    </row>
    <row r="273" spans="1:6" x14ac:dyDescent="0.25">
      <c r="A273" t="s">
        <v>1</v>
      </c>
      <c r="B273" t="s">
        <v>53</v>
      </c>
      <c r="C273">
        <v>272</v>
      </c>
      <c r="D273" s="24">
        <v>44145</v>
      </c>
      <c r="E273" t="s">
        <v>192</v>
      </c>
    </row>
    <row r="274" spans="1:6" x14ac:dyDescent="0.25">
      <c r="A274" t="s">
        <v>1</v>
      </c>
      <c r="B274" t="s">
        <v>53</v>
      </c>
      <c r="C274">
        <v>1</v>
      </c>
      <c r="D274" s="24">
        <v>44145</v>
      </c>
      <c r="E274" t="s">
        <v>192</v>
      </c>
    </row>
    <row r="275" spans="1:6" x14ac:dyDescent="0.25">
      <c r="A275" t="s">
        <v>1</v>
      </c>
      <c r="B275" t="s">
        <v>53</v>
      </c>
      <c r="C275">
        <v>328</v>
      </c>
      <c r="D275" s="24">
        <v>44145</v>
      </c>
      <c r="E275" t="s">
        <v>192</v>
      </c>
    </row>
    <row r="276" spans="1:6" x14ac:dyDescent="0.25">
      <c r="A276" t="s">
        <v>1</v>
      </c>
      <c r="B276" t="s">
        <v>53</v>
      </c>
      <c r="C276">
        <v>1</v>
      </c>
      <c r="D276" s="24">
        <v>44145</v>
      </c>
      <c r="E276" t="s">
        <v>192</v>
      </c>
    </row>
    <row r="277" spans="1:6" x14ac:dyDescent="0.25">
      <c r="A277" t="s">
        <v>1</v>
      </c>
      <c r="B277" t="s">
        <v>53</v>
      </c>
      <c r="C277">
        <v>1</v>
      </c>
      <c r="D277" s="24">
        <v>44145</v>
      </c>
      <c r="E277" t="s">
        <v>192</v>
      </c>
    </row>
    <row r="278" spans="1:6" x14ac:dyDescent="0.25">
      <c r="A278" t="s">
        <v>1</v>
      </c>
      <c r="B278" t="s">
        <v>53</v>
      </c>
      <c r="C278">
        <v>1</v>
      </c>
      <c r="D278" s="24">
        <v>44145</v>
      </c>
      <c r="E278" t="s">
        <v>192</v>
      </c>
    </row>
    <row r="279" spans="1:6" x14ac:dyDescent="0.25">
      <c r="A279" t="s">
        <v>1</v>
      </c>
      <c r="B279" t="s">
        <v>53</v>
      </c>
      <c r="C279">
        <v>1</v>
      </c>
      <c r="D279" s="24">
        <v>44145</v>
      </c>
      <c r="E279" t="s">
        <v>192</v>
      </c>
    </row>
    <row r="280" spans="1:6" x14ac:dyDescent="0.25">
      <c r="A280" t="s">
        <v>1</v>
      </c>
      <c r="B280" t="s">
        <v>53</v>
      </c>
      <c r="C280">
        <v>136</v>
      </c>
      <c r="D280" s="24">
        <v>44145</v>
      </c>
      <c r="E280" t="s">
        <v>192</v>
      </c>
    </row>
    <row r="281" spans="1:6" x14ac:dyDescent="0.25">
      <c r="A281" t="s">
        <v>1</v>
      </c>
      <c r="B281" t="s">
        <v>53</v>
      </c>
      <c r="C281">
        <v>1</v>
      </c>
      <c r="D281" s="24">
        <v>44145</v>
      </c>
      <c r="E281" t="s">
        <v>192</v>
      </c>
    </row>
    <row r="282" spans="1:6" x14ac:dyDescent="0.25">
      <c r="A282" t="s">
        <v>1</v>
      </c>
      <c r="B282" t="s">
        <v>53</v>
      </c>
      <c r="C282">
        <v>1</v>
      </c>
      <c r="D282" s="24">
        <v>44145</v>
      </c>
      <c r="E282" t="s">
        <v>192</v>
      </c>
    </row>
    <row r="283" spans="1:6" x14ac:dyDescent="0.25">
      <c r="A283" t="s">
        <v>1</v>
      </c>
      <c r="B283" t="s">
        <v>53</v>
      </c>
      <c r="C283">
        <v>1</v>
      </c>
      <c r="D283" s="24">
        <v>44145</v>
      </c>
      <c r="E283" t="s">
        <v>192</v>
      </c>
    </row>
    <row r="284" spans="1:6" x14ac:dyDescent="0.25">
      <c r="A284" t="s">
        <v>1</v>
      </c>
      <c r="B284" t="s">
        <v>53</v>
      </c>
      <c r="C284">
        <v>1</v>
      </c>
      <c r="D284" s="24">
        <v>44145</v>
      </c>
      <c r="E284" t="s">
        <v>192</v>
      </c>
    </row>
    <row r="285" spans="1:6" x14ac:dyDescent="0.25">
      <c r="A285" t="s">
        <v>1</v>
      </c>
      <c r="B285" t="s">
        <v>53</v>
      </c>
      <c r="C285">
        <v>1</v>
      </c>
      <c r="D285" s="24">
        <v>44145</v>
      </c>
      <c r="E285" t="s">
        <v>192</v>
      </c>
    </row>
    <row r="286" spans="1:6" x14ac:dyDescent="0.25">
      <c r="A286" t="s">
        <v>29</v>
      </c>
      <c r="B286" t="s">
        <v>53</v>
      </c>
      <c r="C286">
        <v>488</v>
      </c>
      <c r="D286" s="24">
        <v>44145</v>
      </c>
      <c r="E286" t="s">
        <v>192</v>
      </c>
      <c r="F286" t="s">
        <v>89</v>
      </c>
    </row>
    <row r="287" spans="1:6" x14ac:dyDescent="0.25">
      <c r="A287" t="s">
        <v>29</v>
      </c>
      <c r="B287" t="s">
        <v>53</v>
      </c>
      <c r="C287">
        <v>854</v>
      </c>
      <c r="D287" s="24">
        <v>44145</v>
      </c>
      <c r="E287" t="s">
        <v>192</v>
      </c>
      <c r="F287" t="s">
        <v>89</v>
      </c>
    </row>
    <row r="288" spans="1:6" x14ac:dyDescent="0.25">
      <c r="A288" t="s">
        <v>29</v>
      </c>
      <c r="B288" t="s">
        <v>53</v>
      </c>
      <c r="C288">
        <v>968</v>
      </c>
      <c r="D288" s="24">
        <v>44145</v>
      </c>
      <c r="E288" t="s">
        <v>192</v>
      </c>
      <c r="F288" t="s">
        <v>89</v>
      </c>
    </row>
    <row r="289" spans="1:5" x14ac:dyDescent="0.25">
      <c r="A289" t="s">
        <v>50</v>
      </c>
      <c r="B289" t="s">
        <v>53</v>
      </c>
      <c r="C289">
        <v>964</v>
      </c>
      <c r="D289" s="24">
        <v>44141</v>
      </c>
      <c r="E289" t="s">
        <v>192</v>
      </c>
    </row>
    <row r="290" spans="1:5" x14ac:dyDescent="0.25">
      <c r="A290" t="s">
        <v>50</v>
      </c>
      <c r="B290" t="s">
        <v>53</v>
      </c>
      <c r="C290">
        <v>1334</v>
      </c>
      <c r="D290" s="24">
        <v>44141</v>
      </c>
      <c r="E290" t="s">
        <v>192</v>
      </c>
    </row>
    <row r="291" spans="1:5" x14ac:dyDescent="0.25">
      <c r="A291" t="s">
        <v>50</v>
      </c>
      <c r="B291" t="s">
        <v>53</v>
      </c>
      <c r="C291">
        <v>1409</v>
      </c>
      <c r="D291" s="24">
        <v>44141</v>
      </c>
      <c r="E291" t="s">
        <v>192</v>
      </c>
    </row>
    <row r="292" spans="1:5" x14ac:dyDescent="0.25">
      <c r="A292" t="s">
        <v>50</v>
      </c>
      <c r="B292" t="s">
        <v>53</v>
      </c>
      <c r="C292">
        <v>1348</v>
      </c>
      <c r="D292" s="24">
        <v>44141</v>
      </c>
      <c r="E292" t="s">
        <v>192</v>
      </c>
    </row>
    <row r="293" spans="1:5" x14ac:dyDescent="0.25">
      <c r="A293" t="s">
        <v>101</v>
      </c>
      <c r="B293" t="s">
        <v>181</v>
      </c>
      <c r="C293">
        <v>998</v>
      </c>
      <c r="D293" s="24">
        <v>44145</v>
      </c>
      <c r="E293" t="s">
        <v>216</v>
      </c>
    </row>
    <row r="294" spans="1:5" x14ac:dyDescent="0.25">
      <c r="A294" t="s">
        <v>101</v>
      </c>
      <c r="B294" t="s">
        <v>181</v>
      </c>
      <c r="C294">
        <v>829</v>
      </c>
      <c r="D294" s="24">
        <v>44145</v>
      </c>
      <c r="E294" t="s">
        <v>216</v>
      </c>
    </row>
    <row r="295" spans="1:5" x14ac:dyDescent="0.25">
      <c r="A295" t="s">
        <v>101</v>
      </c>
      <c r="B295" t="s">
        <v>181</v>
      </c>
      <c r="C295">
        <v>990</v>
      </c>
      <c r="D295" s="24">
        <v>44145</v>
      </c>
      <c r="E295" t="s">
        <v>216</v>
      </c>
    </row>
    <row r="296" spans="1:5" x14ac:dyDescent="0.25">
      <c r="A296" t="s">
        <v>101</v>
      </c>
      <c r="B296" t="s">
        <v>181</v>
      </c>
      <c r="C296">
        <v>1008</v>
      </c>
      <c r="D296" s="24">
        <v>44145</v>
      </c>
      <c r="E296" t="s">
        <v>216</v>
      </c>
    </row>
    <row r="297" spans="1:5" x14ac:dyDescent="0.25">
      <c r="A297" t="s">
        <v>103</v>
      </c>
      <c r="B297" t="s">
        <v>53</v>
      </c>
      <c r="C297" s="85">
        <v>1196</v>
      </c>
      <c r="D297" s="24">
        <v>44145</v>
      </c>
      <c r="E297" t="s">
        <v>216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826CD0AF-3E51-4C22-8768-62B854350841}">
          <x14:formula1>
            <xm:f>Podatki!$A$2:$A$98</xm:f>
          </x14:formula1>
          <xm:sqref>I5 A77:A80 A151:A215 A252:A285</xm:sqref>
        </x14:dataValidation>
        <x14:dataValidation type="list" allowBlank="1" showInputMessage="1" showErrorMessage="1" xr:uid="{B7ECA199-4EA5-4E76-BD8A-4DAAD5884EB1}">
          <x14:formula1>
            <xm:f>Podatki!$E$2:$E$29</xm:f>
          </x14:formula1>
          <xm:sqref>K5 B15:B20 B77:B82 B151:B215 B252:B296</xm:sqref>
        </x14:dataValidation>
        <x14:dataValidation type="list" showInputMessage="1" showErrorMessage="1" xr:uid="{2970F5CB-D45D-4A2B-B744-0FE84B878DDC}">
          <x14:formula1>
            <xm:f>Podatki!$A$2:$A$103</xm:f>
          </x14:formula1>
          <xm:sqref>A1899:A1919 A2:A35 A42:A76 A81:A150 A216:A251 A286:A1897</xm:sqref>
        </x14:dataValidation>
        <x14:dataValidation type="list" allowBlank="1" showInputMessage="1" showErrorMessage="1" xr:uid="{E009EC1E-98CD-452E-A3BF-8155B0137152}">
          <x14:formula1>
            <xm:f>Podatki!$A$2:$A$30</xm:f>
          </x14:formula1>
          <xm:sqref>A1898</xm:sqref>
        </x14:dataValidation>
        <x14:dataValidation type="list" allowBlank="1" showInputMessage="1" showErrorMessage="1" xr:uid="{6CAE5DEA-D66D-4E89-B3D8-8ECF7128BABB}">
          <x14:formula1>
            <xm:f>Podatki!$E$2:$E$12</xm:f>
          </x14:formula1>
          <xm:sqref>B2:B14 B21:B35 B42:B76 B83:B123 B216:B251 B297:B1182</xm:sqref>
        </x14:dataValidation>
        <x14:dataValidation type="list" allowBlank="1" showInputMessage="1" showErrorMessage="1" xr:uid="{CFA46141-4B9E-4971-9E3E-36D2277B377D}">
          <x14:formula1>
            <xm:f>Podatki!$G$2:$G$23</xm:f>
          </x14:formula1>
          <xm:sqref>E2:E174 E178:E190 E192:E209</xm:sqref>
        </x14:dataValidation>
        <x14:dataValidation type="list" allowBlank="1" showInputMessage="1" showErrorMessage="1" xr:uid="{956D5507-66B9-4E89-9297-5B862697D730}">
          <x14:formula1>
            <xm:f>Podatki!$G$2:$G$50</xm:f>
          </x14:formula1>
          <xm:sqref>E210:E292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FF2A6-0365-450F-9D0A-4C361153B0DC}">
  <dimension ref="A1:G106"/>
  <sheetViews>
    <sheetView tabSelected="1" workbookViewId="0">
      <selection activeCell="G15" sqref="G15"/>
    </sheetView>
  </sheetViews>
  <sheetFormatPr defaultRowHeight="15" x14ac:dyDescent="0.25"/>
  <cols>
    <col min="1" max="1" width="13.5703125" customWidth="1"/>
    <col min="2" max="2" width="78.7109375" customWidth="1"/>
    <col min="5" max="5" width="10.7109375" customWidth="1"/>
    <col min="7" max="7" width="10.7109375" customWidth="1"/>
  </cols>
  <sheetData>
    <row r="1" spans="1:7" x14ac:dyDescent="0.25">
      <c r="A1" s="5" t="s">
        <v>36</v>
      </c>
      <c r="B1" s="5" t="s">
        <v>40</v>
      </c>
      <c r="C1" s="5" t="s">
        <v>51</v>
      </c>
      <c r="E1" t="s">
        <v>43</v>
      </c>
      <c r="G1" t="s">
        <v>51</v>
      </c>
    </row>
    <row r="2" spans="1:7" ht="15" customHeight="1" x14ac:dyDescent="0.25">
      <c r="A2" s="68" t="s">
        <v>99</v>
      </c>
      <c r="B2" s="68" t="s">
        <v>100</v>
      </c>
      <c r="C2" s="69">
        <f>IFERROR(MATCH(Seznam_klasifikacij[[#This Row],[Klasifikacija]],Tabela4[Klas. št. ],0),"Napaka")</f>
        <v>1</v>
      </c>
      <c r="E2" t="s">
        <v>41</v>
      </c>
      <c r="G2" t="s">
        <v>216</v>
      </c>
    </row>
    <row r="3" spans="1:7" ht="15" customHeight="1" x14ac:dyDescent="0.25">
      <c r="A3" s="68" t="s">
        <v>101</v>
      </c>
      <c r="B3" s="68" t="s">
        <v>102</v>
      </c>
      <c r="C3" s="69">
        <f>IFERROR(MATCH(Seznam_klasifikacij[[#This Row],[Klasifikacija]],Tabela4[Klas. št. ],0),"Napaka")</f>
        <v>2</v>
      </c>
      <c r="E3" t="s">
        <v>42</v>
      </c>
      <c r="G3" t="s">
        <v>192</v>
      </c>
    </row>
    <row r="4" spans="1:7" ht="15" customHeight="1" x14ac:dyDescent="0.25">
      <c r="A4" s="68" t="s">
        <v>103</v>
      </c>
      <c r="B4" s="68" t="s">
        <v>104</v>
      </c>
      <c r="C4" s="69">
        <f>IFERROR(MATCH(Seznam_klasifikacij[[#This Row],[Klasifikacija]],Tabela4[Klas. št. ],0),"Napaka")</f>
        <v>6</v>
      </c>
      <c r="E4" t="s">
        <v>48</v>
      </c>
      <c r="G4" t="s">
        <v>193</v>
      </c>
    </row>
    <row r="5" spans="1:7" ht="15" customHeight="1" x14ac:dyDescent="0.25">
      <c r="A5" s="69" t="s">
        <v>56</v>
      </c>
      <c r="B5" s="69" t="s">
        <v>55</v>
      </c>
      <c r="C5" s="69">
        <f>IFERROR(MATCH(Seznam_klasifikacij[[#This Row],[Klasifikacija]],Tabela4[Klas. št. ],0),"Napaka")</f>
        <v>7</v>
      </c>
      <c r="E5" t="s">
        <v>47</v>
      </c>
      <c r="G5" t="s">
        <v>98</v>
      </c>
    </row>
    <row r="6" spans="1:7" ht="15" customHeight="1" x14ac:dyDescent="0.25">
      <c r="A6" s="68" t="s">
        <v>105</v>
      </c>
      <c r="B6" s="68" t="s">
        <v>106</v>
      </c>
      <c r="C6" s="69">
        <f>IFERROR(MATCH(Seznam_klasifikacij[[#This Row],[Klasifikacija]],Tabela4[Klas. št. ],0),"Napaka")</f>
        <v>8</v>
      </c>
      <c r="E6" t="s">
        <v>53</v>
      </c>
    </row>
    <row r="7" spans="1:7" ht="15" customHeight="1" x14ac:dyDescent="0.25">
      <c r="A7" s="69" t="s">
        <v>92</v>
      </c>
      <c r="B7" s="70" t="s">
        <v>96</v>
      </c>
      <c r="C7" s="69">
        <f>IFERROR(MATCH(Seznam_klasifikacij[[#This Row],[Klasifikacija]],Tabela4[Klas. št. ],0),"Napaka")</f>
        <v>9</v>
      </c>
      <c r="E7" t="s">
        <v>46</v>
      </c>
    </row>
    <row r="8" spans="1:7" ht="15" customHeight="1" x14ac:dyDescent="0.25">
      <c r="A8" s="69" t="s">
        <v>9</v>
      </c>
      <c r="B8" s="69" t="s">
        <v>6</v>
      </c>
      <c r="C8" s="69">
        <f>IFERROR(MATCH(Seznam_klasifikacij[[#This Row],[Klasifikacija]],Tabela4[Klas. št. ],0),"Napaka")</f>
        <v>10</v>
      </c>
      <c r="E8" t="s">
        <v>77</v>
      </c>
    </row>
    <row r="9" spans="1:7" ht="15" customHeight="1" x14ac:dyDescent="0.25">
      <c r="A9" s="68" t="s">
        <v>107</v>
      </c>
      <c r="B9" s="68" t="s">
        <v>108</v>
      </c>
      <c r="C9" s="69">
        <f>IFERROR(MATCH(Seznam_klasifikacij[[#This Row],[Klasifikacija]],Tabela4[Klas. št. ],0),"Napaka")</f>
        <v>12</v>
      </c>
      <c r="E9" t="s">
        <v>181</v>
      </c>
    </row>
    <row r="10" spans="1:7" ht="15" customHeight="1" x14ac:dyDescent="0.25">
      <c r="A10" s="68" t="s">
        <v>109</v>
      </c>
      <c r="B10" s="68" t="s">
        <v>110</v>
      </c>
      <c r="C10" s="69">
        <f>IFERROR(MATCH(Seznam_klasifikacij[[#This Row],[Klasifikacija]],Tabela4[Klas. št. ],0),"Napaka")</f>
        <v>13</v>
      </c>
      <c r="E10" t="s">
        <v>182</v>
      </c>
    </row>
    <row r="11" spans="1:7" ht="15" customHeight="1" x14ac:dyDescent="0.25">
      <c r="A11" s="69" t="s">
        <v>24</v>
      </c>
      <c r="B11" s="69" t="s">
        <v>23</v>
      </c>
      <c r="C11" s="69">
        <f>IFERROR(MATCH(Seznam_klasifikacij[[#This Row],[Klasifikacija]],Tabela4[Klas. št. ],0),"Napaka")</f>
        <v>14</v>
      </c>
      <c r="E11" t="s">
        <v>183</v>
      </c>
    </row>
    <row r="12" spans="1:7" ht="15" customHeight="1" x14ac:dyDescent="0.25">
      <c r="A12" s="68" t="s">
        <v>111</v>
      </c>
      <c r="B12" s="68" t="s">
        <v>112</v>
      </c>
      <c r="C12" s="69">
        <f>IFERROR(MATCH(Seznam_klasifikacij[[#This Row],[Klasifikacija]],Tabela4[Klas. št. ],0),"Napaka")</f>
        <v>15</v>
      </c>
      <c r="E12" t="s">
        <v>229</v>
      </c>
    </row>
    <row r="13" spans="1:7" ht="15" customHeight="1" x14ac:dyDescent="0.25">
      <c r="A13" s="68" t="s">
        <v>113</v>
      </c>
      <c r="B13" s="68" t="s">
        <v>114</v>
      </c>
      <c r="C13" s="69">
        <f>IFERROR(MATCH(Seznam_klasifikacij[[#This Row],[Klasifikacija]],Tabela4[Klas. št. ],0),"Napaka")</f>
        <v>16</v>
      </c>
      <c r="E13" t="s">
        <v>245</v>
      </c>
    </row>
    <row r="14" spans="1:7" ht="15" customHeight="1" x14ac:dyDescent="0.25">
      <c r="A14" s="69" t="s">
        <v>4</v>
      </c>
      <c r="B14" s="69" t="s">
        <v>7</v>
      </c>
      <c r="C14" s="69">
        <f>IFERROR(MATCH(Seznam_klasifikacij[[#This Row],[Klasifikacija]],Tabela4[Klas. št. ],0),"Napaka")</f>
        <v>17</v>
      </c>
    </row>
    <row r="15" spans="1:7" ht="15" customHeight="1" x14ac:dyDescent="0.25">
      <c r="A15" s="69" t="s">
        <v>5</v>
      </c>
      <c r="B15" s="69" t="s">
        <v>8</v>
      </c>
      <c r="C15" s="69">
        <f>IFERROR(MATCH(Seznam_klasifikacij[[#This Row],[Klasifikacija]],Tabela4[Klas. št. ],0),"Napaka")</f>
        <v>18</v>
      </c>
    </row>
    <row r="16" spans="1:7" ht="15" customHeight="1" x14ac:dyDescent="0.25">
      <c r="A16" s="69" t="s">
        <v>31</v>
      </c>
      <c r="B16" s="69" t="s">
        <v>32</v>
      </c>
      <c r="C16" s="69">
        <f>IFERROR(MATCH(Seznam_klasifikacij[[#This Row],[Klasifikacija]],Tabela4[Klas. št. ],0),"Napaka")</f>
        <v>19</v>
      </c>
    </row>
    <row r="17" spans="1:3" ht="15" customHeight="1" x14ac:dyDescent="0.25">
      <c r="A17" s="68" t="s">
        <v>115</v>
      </c>
      <c r="B17" s="68" t="s">
        <v>116</v>
      </c>
      <c r="C17" s="69">
        <f>IFERROR(MATCH(Seznam_klasifikacij[[#This Row],[Klasifikacija]],Tabela4[Klas. št. ],0),"Napaka")</f>
        <v>20</v>
      </c>
    </row>
    <row r="18" spans="1:3" ht="15" customHeight="1" x14ac:dyDescent="0.25">
      <c r="A18" s="68" t="s">
        <v>117</v>
      </c>
      <c r="B18" s="68" t="s">
        <v>118</v>
      </c>
      <c r="C18" s="69">
        <f>IFERROR(MATCH(Seznam_klasifikacij[[#This Row],[Klasifikacija]],Tabela4[Klas. št. ],0),"Napaka")</f>
        <v>21</v>
      </c>
    </row>
    <row r="19" spans="1:3" x14ac:dyDescent="0.25">
      <c r="A19" s="68" t="s">
        <v>119</v>
      </c>
      <c r="B19" s="68" t="s">
        <v>120</v>
      </c>
      <c r="C19" s="69">
        <f>IFERROR(MATCH(Seznam_klasifikacij[[#This Row],[Klasifikacija]],Tabela4[Klas. št. ],0),"Napaka")</f>
        <v>22</v>
      </c>
    </row>
    <row r="20" spans="1:3" x14ac:dyDescent="0.25">
      <c r="A20" s="68" t="s">
        <v>121</v>
      </c>
      <c r="B20" s="68" t="s">
        <v>122</v>
      </c>
      <c r="C20" s="69">
        <f>IFERROR(MATCH(Seznam_klasifikacij[[#This Row],[Klasifikacija]],Tabela4[Klas. št. ],0),"Napaka")</f>
        <v>23</v>
      </c>
    </row>
    <row r="21" spans="1:3" x14ac:dyDescent="0.25">
      <c r="A21" s="69" t="s">
        <v>3</v>
      </c>
      <c r="B21" s="69" t="s">
        <v>10</v>
      </c>
      <c r="C21" s="69">
        <f>IFERROR(MATCH(Seznam_klasifikacij[[#This Row],[Klasifikacija]],Tabela4[Klas. št. ],0),"Napaka")</f>
        <v>24</v>
      </c>
    </row>
    <row r="22" spans="1:3" x14ac:dyDescent="0.25">
      <c r="A22" s="69" t="s">
        <v>71</v>
      </c>
      <c r="B22" s="69" t="s">
        <v>73</v>
      </c>
      <c r="C22" s="69">
        <f>IFERROR(MATCH(Seznam_klasifikacij[[#This Row],[Klasifikacija]],Tabela4[Klas. št. ],0),"Napaka")</f>
        <v>25</v>
      </c>
    </row>
    <row r="23" spans="1:3" x14ac:dyDescent="0.25">
      <c r="A23" s="68" t="s">
        <v>123</v>
      </c>
      <c r="B23" s="68" t="s">
        <v>124</v>
      </c>
      <c r="C23" s="69">
        <f>IFERROR(MATCH(Seznam_klasifikacij[[#This Row],[Klasifikacija]],Tabela4[Klas. št. ],0),"Napaka")</f>
        <v>26</v>
      </c>
    </row>
    <row r="24" spans="1:3" x14ac:dyDescent="0.25">
      <c r="A24" s="69" t="s">
        <v>125</v>
      </c>
      <c r="B24" s="69" t="s">
        <v>28</v>
      </c>
      <c r="C24" s="69">
        <f>IFERROR(MATCH(Seznam_klasifikacij[[#This Row],[Klasifikacija]],Tabela4[Klas. št. ],0),"Napaka")</f>
        <v>27</v>
      </c>
    </row>
    <row r="25" spans="1:3" ht="15" customHeight="1" x14ac:dyDescent="0.25">
      <c r="A25" s="68" t="s">
        <v>125</v>
      </c>
      <c r="B25" s="68" t="s">
        <v>126</v>
      </c>
      <c r="C25" s="69">
        <f>IFERROR(MATCH(Seznam_klasifikacij[[#This Row],[Klasifikacija]],Tabela4[Klas. št. ],0),"Napaka")</f>
        <v>27</v>
      </c>
    </row>
    <row r="26" spans="1:3" ht="15" customHeight="1" x14ac:dyDescent="0.25">
      <c r="A26" s="68" t="s">
        <v>127</v>
      </c>
      <c r="B26" s="68" t="s">
        <v>128</v>
      </c>
      <c r="C26" s="69">
        <f>IFERROR(MATCH(Seznam_klasifikacij[[#This Row],[Klasifikacija]],Tabela4[Klas. št. ],0),"Napaka")</f>
        <v>29</v>
      </c>
    </row>
    <row r="27" spans="1:3" s="67" customFormat="1" ht="15" customHeight="1" x14ac:dyDescent="0.25">
      <c r="A27" s="68" t="s">
        <v>129</v>
      </c>
      <c r="B27" s="68" t="s">
        <v>130</v>
      </c>
      <c r="C27" s="69">
        <f>IFERROR(MATCH(Seznam_klasifikacij[[#This Row],[Klasifikacija]],Tabela4[Klas. št. ],0),"Napaka")</f>
        <v>30</v>
      </c>
    </row>
    <row r="28" spans="1:3" s="67" customFormat="1" ht="15" customHeight="1" x14ac:dyDescent="0.25">
      <c r="A28" s="69" t="s">
        <v>60</v>
      </c>
      <c r="B28" s="69" t="s">
        <v>61</v>
      </c>
      <c r="C28" s="69">
        <f>IFERROR(MATCH(Seznam_klasifikacij[[#This Row],[Klasifikacija]],Tabela4[Klas. št. ],0),"Napaka")</f>
        <v>31</v>
      </c>
    </row>
    <row r="29" spans="1:3" s="67" customFormat="1" ht="15" customHeight="1" x14ac:dyDescent="0.25">
      <c r="A29" s="69" t="s">
        <v>0</v>
      </c>
      <c r="B29" s="69" t="s">
        <v>11</v>
      </c>
      <c r="C29" s="69">
        <f>IFERROR(MATCH(Seznam_klasifikacij[[#This Row],[Klasifikacija]],Tabela4[Klas. št. ],0),"Napaka")</f>
        <v>32</v>
      </c>
    </row>
    <row r="30" spans="1:3" s="67" customFormat="1" ht="15" customHeight="1" x14ac:dyDescent="0.25">
      <c r="A30" s="68" t="s">
        <v>131</v>
      </c>
      <c r="B30" s="68" t="s">
        <v>132</v>
      </c>
      <c r="C30" s="69">
        <f>IFERROR(MATCH(Seznam_klasifikacij[[#This Row],[Klasifikacija]],Tabela4[Klas. št. ],0),"Napaka")</f>
        <v>34</v>
      </c>
    </row>
    <row r="31" spans="1:3" s="67" customFormat="1" ht="15" customHeight="1" x14ac:dyDescent="0.25">
      <c r="A31" s="69" t="s">
        <v>18</v>
      </c>
      <c r="B31" s="69" t="s">
        <v>19</v>
      </c>
      <c r="C31" s="69">
        <f>IFERROR(MATCH(Seznam_klasifikacij[[#This Row],[Klasifikacija]],Tabela4[Klas. št. ],0),"Napaka")</f>
        <v>35</v>
      </c>
    </row>
    <row r="32" spans="1:3" s="67" customFormat="1" ht="15" customHeight="1" x14ac:dyDescent="0.25">
      <c r="A32" s="69" t="s">
        <v>26</v>
      </c>
      <c r="B32" s="69" t="s">
        <v>25</v>
      </c>
      <c r="C32" s="69">
        <f>IFERROR(MATCH(Seznam_klasifikacij[[#This Row],[Klasifikacija]],Tabela4[Klas. št. ],0),"Napaka")</f>
        <v>36</v>
      </c>
    </row>
    <row r="33" spans="1:3" s="67" customFormat="1" ht="15" customHeight="1" x14ac:dyDescent="0.25">
      <c r="A33" s="69" t="s">
        <v>2</v>
      </c>
      <c r="B33" s="69" t="s">
        <v>12</v>
      </c>
      <c r="C33" s="69">
        <f>IFERROR(MATCH(Seznam_klasifikacij[[#This Row],[Klasifikacija]],Tabela4[Klas. št. ],0),"Napaka")</f>
        <v>38</v>
      </c>
    </row>
    <row r="34" spans="1:3" s="67" customFormat="1" ht="15" customHeight="1" x14ac:dyDescent="0.25">
      <c r="A34" s="69" t="s">
        <v>58</v>
      </c>
      <c r="B34" s="69" t="s">
        <v>59</v>
      </c>
      <c r="C34" s="69">
        <f>IFERROR(MATCH(Seznam_klasifikacij[[#This Row],[Klasifikacija]],Tabela4[Klas. št. ],0),"Napaka")</f>
        <v>40</v>
      </c>
    </row>
    <row r="35" spans="1:3" s="67" customFormat="1" ht="15" customHeight="1" x14ac:dyDescent="0.25">
      <c r="A35" s="68" t="s">
        <v>133</v>
      </c>
      <c r="B35" s="68" t="s">
        <v>134</v>
      </c>
      <c r="C35" s="69">
        <f>IFERROR(MATCH(Seznam_klasifikacij[[#This Row],[Klasifikacija]],Tabela4[Klas. št. ],0),"Napaka")</f>
        <v>41</v>
      </c>
    </row>
    <row r="36" spans="1:3" s="67" customFormat="1" ht="15" customHeight="1" x14ac:dyDescent="0.25">
      <c r="A36" s="68" t="s">
        <v>135</v>
      </c>
      <c r="B36" s="68" t="s">
        <v>136</v>
      </c>
      <c r="C36" s="69">
        <f>IFERROR(MATCH(Seznam_klasifikacij[[#This Row],[Klasifikacija]],Tabela4[Klas. št. ],0),"Napaka")</f>
        <v>42</v>
      </c>
    </row>
    <row r="37" spans="1:3" s="67" customFormat="1" ht="15" customHeight="1" x14ac:dyDescent="0.25">
      <c r="A37" s="68" t="s">
        <v>137</v>
      </c>
      <c r="B37" s="68" t="s">
        <v>138</v>
      </c>
      <c r="C37" s="69">
        <f>IFERROR(MATCH(Seznam_klasifikacij[[#This Row],[Klasifikacija]],Tabela4[Klas. št. ],0),"Napaka")</f>
        <v>43</v>
      </c>
    </row>
    <row r="38" spans="1:3" s="67" customFormat="1" ht="15" customHeight="1" x14ac:dyDescent="0.25">
      <c r="A38" s="68" t="s">
        <v>139</v>
      </c>
      <c r="B38" s="68" t="s">
        <v>140</v>
      </c>
      <c r="C38" s="69">
        <f>IFERROR(MATCH(Seznam_klasifikacij[[#This Row],[Klasifikacija]],Tabela4[Klas. št. ],0),"Napaka")</f>
        <v>44</v>
      </c>
    </row>
    <row r="39" spans="1:3" s="67" customFormat="1" ht="15" customHeight="1" x14ac:dyDescent="0.25">
      <c r="A39" s="68" t="s">
        <v>141</v>
      </c>
      <c r="B39" s="68" t="s">
        <v>142</v>
      </c>
      <c r="C39" s="69">
        <f>IFERROR(MATCH(Seznam_klasifikacij[[#This Row],[Klasifikacija]],Tabela4[Klas. št. ],0),"Napaka")</f>
        <v>45</v>
      </c>
    </row>
    <row r="40" spans="1:3" s="67" customFormat="1" ht="15" customHeight="1" x14ac:dyDescent="0.25">
      <c r="A40" s="68" t="s">
        <v>143</v>
      </c>
      <c r="B40" s="68" t="s">
        <v>144</v>
      </c>
      <c r="C40" s="69">
        <f>IFERROR(MATCH(Seznam_klasifikacij[[#This Row],[Klasifikacija]],Tabela4[Klas. št. ],0),"Napaka")</f>
        <v>46</v>
      </c>
    </row>
    <row r="41" spans="1:3" s="67" customFormat="1" ht="15" customHeight="1" x14ac:dyDescent="0.25">
      <c r="A41" s="68" t="s">
        <v>145</v>
      </c>
      <c r="B41" s="68" t="s">
        <v>146</v>
      </c>
      <c r="C41" s="69">
        <f>IFERROR(MATCH(Seznam_klasifikacij[[#This Row],[Klasifikacija]],Tabela4[Klas. št. ],0),"Napaka")</f>
        <v>47</v>
      </c>
    </row>
    <row r="42" spans="1:3" s="67" customFormat="1" ht="15" customHeight="1" x14ac:dyDescent="0.25">
      <c r="A42" s="69" t="s">
        <v>21</v>
      </c>
      <c r="B42" s="69" t="s">
        <v>22</v>
      </c>
      <c r="C42" s="69">
        <f>IFERROR(MATCH(Seznam_klasifikacij[[#This Row],[Klasifikacija]],Tabela4[Klas. št. ],0),"Napaka")</f>
        <v>48</v>
      </c>
    </row>
    <row r="43" spans="1:3" s="67" customFormat="1" ht="15" customHeight="1" x14ac:dyDescent="0.25">
      <c r="A43" s="68" t="s">
        <v>147</v>
      </c>
      <c r="B43" s="68" t="s">
        <v>148</v>
      </c>
      <c r="C43" s="69" t="str">
        <f>IFERROR(MATCH(Seznam_klasifikacij[[#This Row],[Klasifikacija]],Tabela4[Klas. št. ],0),"Napaka")</f>
        <v>Napaka</v>
      </c>
    </row>
    <row r="44" spans="1:3" s="67" customFormat="1" ht="15" customHeight="1" x14ac:dyDescent="0.25">
      <c r="A44" s="68" t="s">
        <v>149</v>
      </c>
      <c r="B44" s="68" t="s">
        <v>150</v>
      </c>
      <c r="C44" s="69">
        <f>IFERROR(MATCH(Seznam_klasifikacij[[#This Row],[Klasifikacija]],Tabela4[Klas. št. ],0),"Napaka")</f>
        <v>49</v>
      </c>
    </row>
    <row r="45" spans="1:3" s="67" customFormat="1" ht="15" customHeight="1" x14ac:dyDescent="0.25">
      <c r="A45" s="68" t="s">
        <v>151</v>
      </c>
      <c r="B45" s="68" t="s">
        <v>152</v>
      </c>
      <c r="C45" s="69">
        <f>IFERROR(MATCH(Seznam_klasifikacij[[#This Row],[Klasifikacija]],Tabela4[Klas. št. ],0),"Napaka")</f>
        <v>50</v>
      </c>
    </row>
    <row r="46" spans="1:3" s="67" customFormat="1" ht="15" customHeight="1" x14ac:dyDescent="0.25">
      <c r="A46" s="68" t="s">
        <v>153</v>
      </c>
      <c r="B46" s="68" t="s">
        <v>154</v>
      </c>
      <c r="C46" s="69">
        <f>IFERROR(MATCH(Seznam_klasifikacij[[#This Row],[Klasifikacija]],Tabela4[Klas. št. ],0),"Napaka")</f>
        <v>51</v>
      </c>
    </row>
    <row r="47" spans="1:3" s="67" customFormat="1" ht="15" customHeight="1" x14ac:dyDescent="0.25">
      <c r="A47" s="68" t="s">
        <v>155</v>
      </c>
      <c r="B47" s="68" t="s">
        <v>156</v>
      </c>
      <c r="C47" s="69">
        <f>IFERROR(MATCH(Seznam_klasifikacij[[#This Row],[Klasifikacija]],Tabela4[Klas. št. ],0),"Napaka")</f>
        <v>52</v>
      </c>
    </row>
    <row r="48" spans="1:3" s="67" customFormat="1" ht="15" customHeight="1" x14ac:dyDescent="0.25">
      <c r="A48" s="69" t="s">
        <v>91</v>
      </c>
      <c r="B48" s="70" t="s">
        <v>97</v>
      </c>
      <c r="C48" s="69">
        <f>IFERROR(MATCH(Seznam_klasifikacij[[#This Row],[Klasifikacija]],Tabela4[Klas. št. ],0),"Napaka")</f>
        <v>53</v>
      </c>
    </row>
    <row r="49" spans="1:3" s="67" customFormat="1" ht="15" customHeight="1" x14ac:dyDescent="0.25">
      <c r="A49" s="69" t="s">
        <v>64</v>
      </c>
      <c r="B49" s="69" t="s">
        <v>65</v>
      </c>
      <c r="C49" s="69">
        <f>IFERROR(MATCH(Seznam_klasifikacij[[#This Row],[Klasifikacija]],Tabela4[Klas. št. ],0),"Napaka")</f>
        <v>54</v>
      </c>
    </row>
    <row r="50" spans="1:3" s="67" customFormat="1" ht="15" customHeight="1" x14ac:dyDescent="0.25">
      <c r="A50" s="68" t="s">
        <v>157</v>
      </c>
      <c r="B50" s="68" t="s">
        <v>158</v>
      </c>
      <c r="C50" s="69">
        <f>IFERROR(MATCH(Seznam_klasifikacij[[#This Row],[Klasifikacija]],Tabela4[Klas. št. ],0),"Napaka")</f>
        <v>55</v>
      </c>
    </row>
    <row r="51" spans="1:3" s="67" customFormat="1" ht="15" customHeight="1" x14ac:dyDescent="0.25">
      <c r="A51" s="68" t="s">
        <v>159</v>
      </c>
      <c r="B51" s="68" t="s">
        <v>160</v>
      </c>
      <c r="C51" s="69">
        <f>IFERROR(MATCH(Seznam_klasifikacij[[#This Row],[Klasifikacija]],Tabela4[Klas. št. ],0),"Napaka")</f>
        <v>56</v>
      </c>
    </row>
    <row r="52" spans="1:3" s="67" customFormat="1" ht="15" customHeight="1" x14ac:dyDescent="0.25">
      <c r="A52" s="69" t="s">
        <v>29</v>
      </c>
      <c r="B52" s="69" t="s">
        <v>30</v>
      </c>
      <c r="C52" s="69">
        <f>IFERROR(MATCH(Seznam_klasifikacij[[#This Row],[Klasifikacija]],Tabela4[Klas. št. ],0),"Napaka")</f>
        <v>57</v>
      </c>
    </row>
    <row r="53" spans="1:3" s="67" customFormat="1" ht="15" customHeight="1" x14ac:dyDescent="0.25">
      <c r="A53" s="68" t="s">
        <v>161</v>
      </c>
      <c r="B53" s="68" t="s">
        <v>162</v>
      </c>
      <c r="C53" s="69">
        <f>IFERROR(MATCH(Seznam_klasifikacij[[#This Row],[Klasifikacija]],Tabela4[Klas. št. ],0),"Napaka")</f>
        <v>59</v>
      </c>
    </row>
    <row r="54" spans="1:3" s="67" customFormat="1" ht="15" customHeight="1" x14ac:dyDescent="0.25">
      <c r="A54" s="68" t="s">
        <v>163</v>
      </c>
      <c r="B54" s="68" t="s">
        <v>164</v>
      </c>
      <c r="C54" s="69">
        <f>IFERROR(MATCH(Seznam_klasifikacij[[#This Row],[Klasifikacija]],Tabela4[Klas. št. ],0),"Napaka")</f>
        <v>61</v>
      </c>
    </row>
    <row r="55" spans="1:3" s="67" customFormat="1" ht="15" customHeight="1" x14ac:dyDescent="0.25">
      <c r="A55" s="68" t="s">
        <v>13</v>
      </c>
      <c r="B55" s="68" t="s">
        <v>165</v>
      </c>
      <c r="C55" s="69">
        <f>IFERROR(MATCH(Seznam_klasifikacij[[#This Row],[Klasifikacija]],Tabela4[Klas. št. ],0),"Napaka")</f>
        <v>62</v>
      </c>
    </row>
    <row r="56" spans="1:3" s="67" customFormat="1" ht="15" customHeight="1" x14ac:dyDescent="0.25">
      <c r="A56" s="69" t="s">
        <v>185</v>
      </c>
      <c r="B56" s="68" t="s">
        <v>186</v>
      </c>
      <c r="C56" s="69">
        <f>IFERROR(MATCH(Seznam_klasifikacij[[#This Row],[Klasifikacija]],Tabela4[Klas. št. ],0),"Napaka")</f>
        <v>63</v>
      </c>
    </row>
    <row r="57" spans="1:3" s="67" customFormat="1" ht="15" customHeight="1" x14ac:dyDescent="0.25">
      <c r="A57" s="68" t="s">
        <v>166</v>
      </c>
      <c r="B57" s="68" t="s">
        <v>167</v>
      </c>
      <c r="C57" s="69">
        <f>IFERROR(MATCH(Seznam_klasifikacij[[#This Row],[Klasifikacija]],Tabela4[Klas. št. ],0),"Napaka")</f>
        <v>64</v>
      </c>
    </row>
    <row r="58" spans="1:3" s="67" customFormat="1" ht="15" customHeight="1" x14ac:dyDescent="0.25">
      <c r="A58" s="68" t="s">
        <v>168</v>
      </c>
      <c r="B58" s="68" t="s">
        <v>169</v>
      </c>
      <c r="C58" s="69">
        <f>IFERROR(MATCH(Seznam_klasifikacij[[#This Row],[Klasifikacija]],Tabela4[Klas. št. ],0),"Napaka")</f>
        <v>65</v>
      </c>
    </row>
    <row r="59" spans="1:3" s="67" customFormat="1" ht="15" customHeight="1" x14ac:dyDescent="0.25">
      <c r="A59" s="68" t="s">
        <v>171</v>
      </c>
      <c r="B59" s="68" t="s">
        <v>172</v>
      </c>
      <c r="C59" s="69">
        <f>IFERROR(MATCH(Seznam_klasifikacij[[#This Row],[Klasifikacija]],Tabela4[Klas. št. ],0),"Napaka")</f>
        <v>66</v>
      </c>
    </row>
    <row r="60" spans="1:3" s="67" customFormat="1" ht="15" customHeight="1" x14ac:dyDescent="0.25">
      <c r="A60" s="68" t="s">
        <v>173</v>
      </c>
      <c r="B60" s="68" t="s">
        <v>174</v>
      </c>
      <c r="C60" s="69">
        <f>IFERROR(MATCH(Seznam_klasifikacij[[#This Row],[Klasifikacija]],Tabela4[Klas. št. ],0),"Napaka")</f>
        <v>67</v>
      </c>
    </row>
    <row r="61" spans="1:3" s="67" customFormat="1" ht="15" customHeight="1" x14ac:dyDescent="0.25">
      <c r="A61" s="68" t="s">
        <v>175</v>
      </c>
      <c r="B61" s="68" t="s">
        <v>176</v>
      </c>
      <c r="C61" s="69">
        <f>IFERROR(MATCH(Seznam_klasifikacij[[#This Row],[Klasifikacija]],Tabela4[Klas. št. ],0),"Napaka")</f>
        <v>68</v>
      </c>
    </row>
    <row r="62" spans="1:3" s="67" customFormat="1" ht="15" customHeight="1" x14ac:dyDescent="0.25">
      <c r="A62" s="69" t="s">
        <v>14</v>
      </c>
      <c r="B62" s="69" t="s">
        <v>17</v>
      </c>
      <c r="C62" s="69">
        <f>IFERROR(MATCH(Seznam_klasifikacij[[#This Row],[Klasifikacija]],Tabela4[Klas. št. ],0),"Napaka")</f>
        <v>69</v>
      </c>
    </row>
    <row r="63" spans="1:3" s="67" customFormat="1" ht="15" customHeight="1" x14ac:dyDescent="0.25">
      <c r="A63" s="68" t="s">
        <v>184</v>
      </c>
      <c r="B63" s="68" t="s">
        <v>170</v>
      </c>
      <c r="C63" s="69">
        <f>IFERROR(MATCH(Seznam_klasifikacij[[#This Row],[Klasifikacija]],Tabela4[Klas. št. ],0),"Napaka")</f>
        <v>70</v>
      </c>
    </row>
    <row r="64" spans="1:3" s="67" customFormat="1" ht="15" customHeight="1" x14ac:dyDescent="0.25">
      <c r="A64" s="68" t="s">
        <v>177</v>
      </c>
      <c r="B64" s="68" t="s">
        <v>178</v>
      </c>
      <c r="C64" s="69">
        <f>IFERROR(MATCH(Seznam_klasifikacij[[#This Row],[Klasifikacija]],Tabela4[Klas. št. ],0),"Napaka")</f>
        <v>71</v>
      </c>
    </row>
    <row r="65" spans="1:3" s="67" customFormat="1" ht="15" customHeight="1" x14ac:dyDescent="0.25">
      <c r="A65" s="69" t="s">
        <v>1</v>
      </c>
      <c r="B65" s="69" t="s">
        <v>20</v>
      </c>
      <c r="C65" s="69">
        <f>IFERROR(MATCH(Seznam_klasifikacij[[#This Row],[Klasifikacija]],Tabela4[Klas. št. ],0),"Napaka")</f>
        <v>72</v>
      </c>
    </row>
    <row r="66" spans="1:3" s="67" customFormat="1" ht="15" customHeight="1" x14ac:dyDescent="0.25">
      <c r="A66" s="68" t="s">
        <v>179</v>
      </c>
      <c r="B66" s="68" t="s">
        <v>180</v>
      </c>
      <c r="C66" s="69">
        <f>IFERROR(MATCH(Seznam_klasifikacij[[#This Row],[Klasifikacija]],Tabela4[Klas. št. ],0),"Napaka")</f>
        <v>74</v>
      </c>
    </row>
    <row r="67" spans="1:3" s="67" customFormat="1" ht="15" customHeight="1" x14ac:dyDescent="0.25">
      <c r="A67" s="69" t="s">
        <v>50</v>
      </c>
      <c r="B67" s="69" t="s">
        <v>52</v>
      </c>
      <c r="C67" s="69">
        <f>IFERROR(MATCH(Seznam_klasifikacij[[#This Row],[Klasifikacija]],Tabela4[Klas. št. ],0),"Napaka")</f>
        <v>75</v>
      </c>
    </row>
    <row r="68" spans="1:3" s="67" customFormat="1" ht="15" customHeight="1" x14ac:dyDescent="0.25">
      <c r="A68" s="69" t="s">
        <v>72</v>
      </c>
      <c r="B68" s="69" t="s">
        <v>74</v>
      </c>
      <c r="C68" s="69">
        <f>IFERROR(MATCH(Seznam_klasifikacij[[#This Row],[Klasifikacija]],Tabela4[Klas. št. ],0),"Napaka")</f>
        <v>76</v>
      </c>
    </row>
    <row r="69" spans="1:3" s="67" customFormat="1" ht="15" customHeight="1" x14ac:dyDescent="0.25">
      <c r="A69"/>
      <c r="B69"/>
      <c r="C69"/>
    </row>
    <row r="70" spans="1:3" s="67" customFormat="1" ht="15" customHeight="1" x14ac:dyDescent="0.25">
      <c r="A70"/>
      <c r="B70"/>
      <c r="C70"/>
    </row>
    <row r="71" spans="1:3" s="67" customFormat="1" ht="15" customHeight="1" x14ac:dyDescent="0.25">
      <c r="A71"/>
      <c r="B71"/>
      <c r="C71"/>
    </row>
    <row r="72" spans="1:3" s="67" customFormat="1" ht="15" customHeight="1" x14ac:dyDescent="0.25">
      <c r="A72"/>
      <c r="B72"/>
      <c r="C72"/>
    </row>
    <row r="73" spans="1:3" s="67" customFormat="1" ht="15" customHeight="1" x14ac:dyDescent="0.25">
      <c r="A73"/>
      <c r="B73"/>
      <c r="C73"/>
    </row>
    <row r="74" spans="1:3" s="67" customFormat="1" ht="15" customHeight="1" x14ac:dyDescent="0.25">
      <c r="A74"/>
      <c r="B74"/>
      <c r="C74"/>
    </row>
    <row r="75" spans="1:3" s="67" customFormat="1" ht="15" customHeight="1" x14ac:dyDescent="0.25">
      <c r="A75"/>
      <c r="B75"/>
      <c r="C75"/>
    </row>
    <row r="76" spans="1:3" s="67" customFormat="1" ht="15" customHeight="1" x14ac:dyDescent="0.25">
      <c r="A76"/>
      <c r="B76"/>
      <c r="C76"/>
    </row>
    <row r="77" spans="1:3" s="67" customFormat="1" ht="15" customHeight="1" x14ac:dyDescent="0.25">
      <c r="A77"/>
      <c r="B77"/>
      <c r="C77"/>
    </row>
    <row r="78" spans="1:3" x14ac:dyDescent="0.25">
      <c r="A78" s="62"/>
      <c r="B78" s="61"/>
      <c r="C78" s="62"/>
    </row>
    <row r="79" spans="1:3" x14ac:dyDescent="0.25">
      <c r="A79" s="62"/>
      <c r="B79" s="61"/>
      <c r="C79" s="62"/>
    </row>
    <row r="80" spans="1:3" x14ac:dyDescent="0.25">
      <c r="A80" s="62"/>
      <c r="B80" s="61"/>
      <c r="C80" s="62"/>
    </row>
    <row r="81" spans="1:3" x14ac:dyDescent="0.25">
      <c r="A81" s="62"/>
      <c r="B81" s="61"/>
      <c r="C81" s="62"/>
    </row>
    <row r="82" spans="1:3" x14ac:dyDescent="0.25">
      <c r="A82" s="62"/>
      <c r="B82" s="61"/>
      <c r="C82" s="62"/>
    </row>
    <row r="83" spans="1:3" x14ac:dyDescent="0.25">
      <c r="A83" s="62"/>
      <c r="B83" s="61"/>
      <c r="C83" s="62"/>
    </row>
    <row r="84" spans="1:3" x14ac:dyDescent="0.25">
      <c r="A84" s="62"/>
      <c r="B84" s="61"/>
      <c r="C84" s="62"/>
    </row>
    <row r="85" spans="1:3" x14ac:dyDescent="0.25">
      <c r="A85" s="62"/>
      <c r="B85" s="61"/>
      <c r="C85" s="62"/>
    </row>
    <row r="86" spans="1:3" x14ac:dyDescent="0.25">
      <c r="A86" s="62"/>
      <c r="B86" s="61"/>
      <c r="C86" s="62"/>
    </row>
    <row r="87" spans="1:3" x14ac:dyDescent="0.25">
      <c r="A87" s="62"/>
      <c r="B87" s="61"/>
      <c r="C87" s="62"/>
    </row>
    <row r="88" spans="1:3" x14ac:dyDescent="0.25">
      <c r="A88" s="62"/>
      <c r="B88" s="61"/>
      <c r="C88" s="62"/>
    </row>
    <row r="89" spans="1:3" x14ac:dyDescent="0.25">
      <c r="A89" s="62"/>
      <c r="B89" s="61"/>
      <c r="C89" s="62"/>
    </row>
    <row r="90" spans="1:3" x14ac:dyDescent="0.25">
      <c r="A90" s="62"/>
      <c r="B90" s="61"/>
      <c r="C90" s="62"/>
    </row>
    <row r="91" spans="1:3" x14ac:dyDescent="0.25">
      <c r="A91" s="62"/>
      <c r="B91" s="61"/>
      <c r="C91" s="62"/>
    </row>
    <row r="92" spans="1:3" x14ac:dyDescent="0.25">
      <c r="A92" s="62"/>
      <c r="B92" s="61"/>
      <c r="C92" s="62"/>
    </row>
    <row r="93" spans="1:3" x14ac:dyDescent="0.25">
      <c r="A93" s="62"/>
      <c r="B93" s="61"/>
      <c r="C93" s="62"/>
    </row>
    <row r="94" spans="1:3" x14ac:dyDescent="0.25">
      <c r="A94" s="62"/>
      <c r="B94" s="61"/>
      <c r="C94" s="62"/>
    </row>
    <row r="95" spans="1:3" x14ac:dyDescent="0.25">
      <c r="A95" s="62"/>
      <c r="B95" s="61"/>
      <c r="C95" s="62"/>
    </row>
    <row r="96" spans="1:3" x14ac:dyDescent="0.25">
      <c r="A96" s="62"/>
      <c r="B96" s="61"/>
      <c r="C96" s="62"/>
    </row>
    <row r="97" spans="1:3" x14ac:dyDescent="0.25">
      <c r="A97" s="62"/>
      <c r="B97" s="61"/>
      <c r="C97" s="62"/>
    </row>
    <row r="98" spans="1:3" x14ac:dyDescent="0.25">
      <c r="A98" s="62"/>
      <c r="B98" s="61"/>
      <c r="C98" s="62"/>
    </row>
    <row r="99" spans="1:3" x14ac:dyDescent="0.25">
      <c r="A99" s="62"/>
      <c r="B99" s="61"/>
      <c r="C99" s="62"/>
    </row>
    <row r="100" spans="1:3" x14ac:dyDescent="0.25">
      <c r="A100" s="62"/>
      <c r="B100" s="61"/>
      <c r="C100" s="62"/>
    </row>
    <row r="101" spans="1:3" x14ac:dyDescent="0.25">
      <c r="A101" s="62"/>
      <c r="B101" s="61"/>
      <c r="C101" s="62"/>
    </row>
    <row r="102" spans="1:3" x14ac:dyDescent="0.25">
      <c r="A102" s="62"/>
      <c r="B102" s="61"/>
      <c r="C102" s="62"/>
    </row>
    <row r="103" spans="1:3" x14ac:dyDescent="0.25">
      <c r="A103" s="62"/>
      <c r="B103" s="61"/>
      <c r="C103" s="62"/>
    </row>
    <row r="104" spans="1:3" x14ac:dyDescent="0.25">
      <c r="A104" s="62"/>
      <c r="B104" s="61"/>
      <c r="C104" s="62"/>
    </row>
    <row r="105" spans="1:3" x14ac:dyDescent="0.25">
      <c r="A105" s="62"/>
      <c r="B105" s="61"/>
      <c r="C105" s="62"/>
    </row>
    <row r="106" spans="1:3" x14ac:dyDescent="0.25">
      <c r="A106" s="62"/>
      <c r="B106" s="61"/>
      <c r="C106" s="62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F999A20-65AB-4F39-9A0A-DF2CA12A1A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Skladisce_3</vt:lpstr>
      <vt:lpstr>Skladisce_7</vt:lpstr>
      <vt:lpstr>Kontrola</vt:lpstr>
      <vt:lpstr>Izpis_izvoza</vt:lpstr>
      <vt:lpstr>Vhod</vt:lpstr>
      <vt:lpstr>Izhod</vt:lpstr>
      <vt:lpstr>Podatki</vt:lpstr>
      <vt:lpstr>Kontrola!Print_Area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Metod Obretan</dc:creator>
  <cp:lastModifiedBy>Gašper Pogačar</cp:lastModifiedBy>
  <cp:lastPrinted>2020-11-12T06:56:38Z</cp:lastPrinted>
  <dcterms:created xsi:type="dcterms:W3CDTF">2020-06-11T11:24:23Z</dcterms:created>
  <dcterms:modified xsi:type="dcterms:W3CDTF">2020-11-17T14:57:05Z</dcterms:modified>
</cp:coreProperties>
</file>